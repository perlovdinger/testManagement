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bookViews>
    <workbookView xWindow="10305" yWindow="-15" windowWidth="5055" windowHeight="8160"/>
  </bookViews>
  <sheets>
    <sheet name="Acceptance Tests" sheetId="9" r:id="rId1"/>
    <sheet name="Simple Read Only PBL" sheetId="17" r:id="rId2"/>
    <sheet name="Tasks" sheetId="10" r:id="rId3"/>
    <sheet name="Velocity Chart" sheetId="14" r:id="rId4"/>
    <sheet name="Backlog Burndown Chart" sheetId="19" r:id="rId5"/>
    <sheet name="Sprint Burndown Chart" sheetId="15" r:id="rId6"/>
    <sheet name="Parameters" sheetId="2" r:id="rId7"/>
    <sheet name="Error Images" sheetId="3" r:id="rId8"/>
  </sheets>
  <definedNames>
    <definedName name="_xlnm._FilterDatabase" localSheetId="0" hidden="1">'Acceptance Tests'!$A$5:$AQ$38</definedName>
    <definedName name="_xlnm._FilterDatabase" localSheetId="2" hidden="1">Tasks!$B$3:$AC$35</definedName>
  </definedNames>
  <calcPr calcId="145621"/>
</workbook>
</file>

<file path=xl/calcChain.xml><?xml version="1.0" encoding="utf-8"?>
<calcChain xmlns="http://schemas.openxmlformats.org/spreadsheetml/2006/main">
  <c r="D105" i="9" l="1"/>
  <c r="D104" i="9"/>
  <c r="D103" i="9"/>
  <c r="D102" i="9"/>
  <c r="D101" i="9"/>
  <c r="D100" i="9"/>
  <c r="D99" i="9"/>
  <c r="D98" i="9"/>
  <c r="D97" i="9"/>
  <c r="D96" i="9"/>
  <c r="D95" i="9"/>
  <c r="D94" i="9"/>
  <c r="D93" i="9"/>
  <c r="D92" i="9"/>
  <c r="D91" i="9"/>
  <c r="D90" i="9"/>
  <c r="D89" i="9"/>
  <c r="D88" i="9"/>
  <c r="D87" i="9"/>
  <c r="D86" i="9"/>
  <c r="D85" i="9"/>
  <c r="D84" i="9"/>
  <c r="D83" i="9"/>
  <c r="D82" i="9"/>
  <c r="D81" i="9"/>
  <c r="D80" i="9"/>
  <c r="D79" i="9"/>
  <c r="D78" i="9"/>
  <c r="D77" i="9"/>
  <c r="D76" i="9"/>
  <c r="D75" i="9"/>
  <c r="D74" i="9"/>
  <c r="D73" i="9"/>
  <c r="D72" i="9"/>
  <c r="D71" i="9"/>
  <c r="D70" i="9"/>
  <c r="D69" i="9"/>
  <c r="D68" i="9"/>
  <c r="D67" i="9"/>
  <c r="D66" i="9"/>
  <c r="D65" i="9"/>
  <c r="D64" i="9"/>
  <c r="D63" i="9"/>
  <c r="D62" i="9"/>
  <c r="D61" i="9"/>
  <c r="D60" i="9"/>
  <c r="D59" i="9"/>
  <c r="D58" i="9"/>
  <c r="D57" i="9"/>
  <c r="D56" i="9"/>
  <c r="D55" i="9"/>
  <c r="D54" i="9"/>
  <c r="D53" i="9"/>
  <c r="D52" i="9"/>
  <c r="C45" i="9" l="1"/>
  <c r="D45" i="9"/>
  <c r="D44" i="9"/>
  <c r="C44" i="9"/>
  <c r="D43" i="9"/>
  <c r="C43" i="9"/>
  <c r="D42" i="9"/>
  <c r="C42" i="9"/>
  <c r="C41" i="9"/>
  <c r="AE51" i="9"/>
  <c r="AD51" i="9"/>
  <c r="AE50" i="9"/>
  <c r="AD50" i="9"/>
  <c r="AE49" i="9"/>
  <c r="AD49" i="9"/>
  <c r="AE48" i="9"/>
  <c r="AD48" i="9"/>
  <c r="AE47" i="9"/>
  <c r="AD47" i="9"/>
  <c r="AE46" i="9"/>
  <c r="AD46" i="9"/>
  <c r="Z51" i="9"/>
  <c r="Y51" i="9"/>
  <c r="Z50" i="9"/>
  <c r="Y50" i="9"/>
  <c r="Z49" i="9"/>
  <c r="Y49" i="9"/>
  <c r="Z48" i="9"/>
  <c r="Y48" i="9"/>
  <c r="Z47" i="9"/>
  <c r="Y47" i="9"/>
  <c r="Z46" i="9"/>
  <c r="Y46" i="9"/>
  <c r="D51" i="9"/>
  <c r="C51" i="9"/>
  <c r="D50" i="9"/>
  <c r="C50" i="9"/>
  <c r="D49" i="9"/>
  <c r="C49" i="9"/>
  <c r="D48" i="9"/>
  <c r="C48" i="9"/>
  <c r="D47" i="9"/>
  <c r="C47" i="9"/>
  <c r="D46" i="9"/>
  <c r="C46" i="9"/>
  <c r="D41" i="9"/>
  <c r="AE40" i="9"/>
  <c r="AD40" i="9"/>
  <c r="AE39" i="9"/>
  <c r="AD39" i="9"/>
  <c r="Z40" i="9"/>
  <c r="Y40" i="9"/>
  <c r="Z39" i="9"/>
  <c r="Y39" i="9"/>
  <c r="D40" i="9"/>
  <c r="C40" i="9"/>
  <c r="D39" i="9"/>
  <c r="C39" i="9"/>
  <c r="D7" i="9" l="1"/>
  <c r="V42" i="9" l="1"/>
  <c r="V43" i="9"/>
  <c r="V44" i="9"/>
  <c r="V45" i="9"/>
  <c r="V41" i="9"/>
  <c r="V37" i="9"/>
  <c r="V35" i="9"/>
  <c r="V34" i="9"/>
  <c r="V33" i="9"/>
  <c r="V36" i="9" l="1"/>
  <c r="V38" i="9" s="1"/>
  <c r="D8" i="9" l="1"/>
  <c r="D9" i="9"/>
  <c r="D10" i="9"/>
  <c r="D11" i="9"/>
  <c r="D12" i="9"/>
  <c r="D13" i="9"/>
  <c r="D14" i="9"/>
  <c r="D15" i="9"/>
  <c r="D16" i="9"/>
  <c r="D17" i="9"/>
  <c r="D18" i="9"/>
  <c r="D19" i="9"/>
  <c r="D20" i="9"/>
  <c r="D21" i="9"/>
  <c r="D22" i="9"/>
  <c r="D23" i="9"/>
  <c r="D24" i="9"/>
  <c r="D25" i="9"/>
  <c r="D26" i="9"/>
  <c r="D27" i="9"/>
  <c r="D28" i="9"/>
  <c r="D29" i="9"/>
  <c r="D30" i="9"/>
  <c r="D31" i="9"/>
  <c r="D32" i="9"/>
  <c r="W45" i="9" l="1"/>
  <c r="W44" i="9"/>
  <c r="W43" i="9"/>
  <c r="W42" i="9"/>
  <c r="W41" i="9"/>
  <c r="X45" i="9" l="1"/>
  <c r="AE45" i="9" s="1"/>
  <c r="X44" i="9"/>
  <c r="AE44" i="9" s="1"/>
  <c r="X43" i="9"/>
  <c r="AE43" i="9" s="1"/>
  <c r="X42" i="9"/>
  <c r="AE42" i="9" s="1"/>
  <c r="X41" i="9"/>
  <c r="AE41" i="9" s="1"/>
  <c r="U45" i="9"/>
  <c r="U44" i="9"/>
  <c r="AD44" i="9" s="1"/>
  <c r="U42" i="9"/>
  <c r="U43" i="9"/>
  <c r="AD43" i="9" s="1"/>
  <c r="U41" i="9"/>
  <c r="R4" i="10"/>
  <c r="S4" i="10"/>
  <c r="T4" i="10"/>
  <c r="U4" i="10"/>
  <c r="R5" i="10"/>
  <c r="S5" i="10"/>
  <c r="T5" i="10"/>
  <c r="U5" i="10"/>
  <c r="R6" i="10"/>
  <c r="S6" i="10"/>
  <c r="T6" i="10"/>
  <c r="U6" i="10"/>
  <c r="R7" i="10"/>
  <c r="S7" i="10"/>
  <c r="T7" i="10"/>
  <c r="U7" i="10"/>
  <c r="R8" i="10"/>
  <c r="S8" i="10"/>
  <c r="T8" i="10"/>
  <c r="U8" i="10"/>
  <c r="R9" i="10"/>
  <c r="S9" i="10"/>
  <c r="T9" i="10"/>
  <c r="U9" i="10"/>
  <c r="R10" i="10"/>
  <c r="S10" i="10"/>
  <c r="T10" i="10"/>
  <c r="U10" i="10"/>
  <c r="R11" i="10"/>
  <c r="S11" i="10"/>
  <c r="T11" i="10"/>
  <c r="U11" i="10"/>
  <c r="R12" i="10"/>
  <c r="S12" i="10"/>
  <c r="T12" i="10"/>
  <c r="U12" i="10"/>
  <c r="R13" i="10"/>
  <c r="S13" i="10"/>
  <c r="T13" i="10"/>
  <c r="U13" i="10"/>
  <c r="R14" i="10"/>
  <c r="S14" i="10"/>
  <c r="T14" i="10"/>
  <c r="U14" i="10"/>
  <c r="R15" i="10"/>
  <c r="S15" i="10"/>
  <c r="T15" i="10"/>
  <c r="U15" i="10"/>
  <c r="R16" i="10"/>
  <c r="S16" i="10"/>
  <c r="T16" i="10"/>
  <c r="U16" i="10"/>
  <c r="R17" i="10"/>
  <c r="S17" i="10"/>
  <c r="T17" i="10"/>
  <c r="U17" i="10"/>
  <c r="R18" i="10"/>
  <c r="S18" i="10"/>
  <c r="T18" i="10"/>
  <c r="U18" i="10"/>
  <c r="R19" i="10"/>
  <c r="S19" i="10"/>
  <c r="T19" i="10"/>
  <c r="U19" i="10"/>
  <c r="R20" i="10"/>
  <c r="S20" i="10"/>
  <c r="T20" i="10"/>
  <c r="U20" i="10"/>
  <c r="R21" i="10"/>
  <c r="S21" i="10"/>
  <c r="T21" i="10"/>
  <c r="U21" i="10"/>
  <c r="R22" i="10"/>
  <c r="S22" i="10"/>
  <c r="T22" i="10"/>
  <c r="U22" i="10"/>
  <c r="R23" i="10"/>
  <c r="S23" i="10"/>
  <c r="T23" i="10"/>
  <c r="U23" i="10"/>
  <c r="R24" i="10"/>
  <c r="S24" i="10"/>
  <c r="T24" i="10"/>
  <c r="U24" i="10"/>
  <c r="R25" i="10"/>
  <c r="S25" i="10"/>
  <c r="T25" i="10"/>
  <c r="U25" i="10"/>
  <c r="R26" i="10"/>
  <c r="S26" i="10"/>
  <c r="T26" i="10"/>
  <c r="U26" i="10"/>
  <c r="R27" i="10"/>
  <c r="S27" i="10"/>
  <c r="T27" i="10"/>
  <c r="U27" i="10"/>
  <c r="R28" i="10"/>
  <c r="S28" i="10"/>
  <c r="T28" i="10"/>
  <c r="U28" i="10"/>
  <c r="R29" i="10"/>
  <c r="S29" i="10"/>
  <c r="T29" i="10"/>
  <c r="U29" i="10"/>
  <c r="R30" i="10"/>
  <c r="S30" i="10"/>
  <c r="T30" i="10"/>
  <c r="U30" i="10"/>
  <c r="Q5" i="10"/>
  <c r="Q6" i="10"/>
  <c r="Q7" i="10"/>
  <c r="Q8" i="10"/>
  <c r="Q9" i="10"/>
  <c r="Q10" i="10"/>
  <c r="Q11" i="10"/>
  <c r="Q12" i="10"/>
  <c r="Q13" i="10"/>
  <c r="Q14" i="10"/>
  <c r="Q15" i="10"/>
  <c r="Q16" i="10"/>
  <c r="Q17" i="10"/>
  <c r="Q18" i="10"/>
  <c r="Q19" i="10"/>
  <c r="Q20" i="10"/>
  <c r="Q21" i="10"/>
  <c r="Q22" i="10"/>
  <c r="Q23" i="10"/>
  <c r="Q24" i="10"/>
  <c r="Q25" i="10"/>
  <c r="Q26" i="10"/>
  <c r="Q27" i="10"/>
  <c r="Q28" i="10"/>
  <c r="Q29" i="10"/>
  <c r="Q30" i="10"/>
  <c r="Z42" i="9" l="1"/>
  <c r="Y42" i="9"/>
  <c r="Z44" i="9"/>
  <c r="Y44" i="9"/>
  <c r="Z45" i="9"/>
  <c r="Y45" i="9"/>
  <c r="AD42" i="9"/>
  <c r="Z43" i="9"/>
  <c r="Y43" i="9"/>
  <c r="AD45" i="9"/>
  <c r="Z41" i="9"/>
  <c r="Y41" i="9"/>
  <c r="AD41" i="9"/>
  <c r="B23" i="14"/>
  <c r="B24" i="14"/>
  <c r="B25" i="14"/>
  <c r="I34" i="17"/>
  <c r="C4" i="15"/>
  <c r="B43" i="14"/>
  <c r="B44" i="14"/>
  <c r="B45" i="14"/>
  <c r="B46" i="14"/>
  <c r="B42" i="14"/>
  <c r="G5" i="10"/>
  <c r="G6" i="10"/>
  <c r="G7" i="10"/>
  <c r="G8" i="10"/>
  <c r="G9" i="10"/>
  <c r="G10" i="10"/>
  <c r="G11" i="10"/>
  <c r="G12" i="10"/>
  <c r="G13" i="10"/>
  <c r="G14" i="10"/>
  <c r="G15" i="10"/>
  <c r="G16" i="10"/>
  <c r="G17" i="10"/>
  <c r="G18" i="10"/>
  <c r="G19" i="10"/>
  <c r="G20" i="10"/>
  <c r="G21" i="10"/>
  <c r="G22" i="10"/>
  <c r="G23" i="10"/>
  <c r="G24" i="10"/>
  <c r="G25" i="10"/>
  <c r="G26" i="10"/>
  <c r="G27" i="10"/>
  <c r="G28" i="10"/>
  <c r="G29" i="10"/>
  <c r="G30" i="10"/>
  <c r="G4" i="10"/>
  <c r="AE4" i="10" s="1"/>
  <c r="C17" i="10"/>
  <c r="C18" i="10"/>
  <c r="C19" i="10"/>
  <c r="C20" i="10"/>
  <c r="C21" i="10"/>
  <c r="C22" i="10"/>
  <c r="C23" i="10"/>
  <c r="C24" i="10"/>
  <c r="C25" i="10"/>
  <c r="C26" i="10"/>
  <c r="C27" i="10"/>
  <c r="C28" i="10"/>
  <c r="C29" i="10"/>
  <c r="C30" i="10"/>
  <c r="AE26" i="10" l="1"/>
  <c r="W26" i="10" s="1"/>
  <c r="AE22" i="10"/>
  <c r="W22" i="10" s="1"/>
  <c r="AE14" i="10"/>
  <c r="W14" i="10" s="1"/>
  <c r="AE10" i="10"/>
  <c r="W10" i="10" s="1"/>
  <c r="AE6" i="10"/>
  <c r="W6" i="10" s="1"/>
  <c r="AE29" i="10"/>
  <c r="W29" i="10" s="1"/>
  <c r="AE21" i="10"/>
  <c r="W21" i="10" s="1"/>
  <c r="AE17" i="10"/>
  <c r="W17" i="10" s="1"/>
  <c r="AE13" i="10"/>
  <c r="W13" i="10" s="1"/>
  <c r="AE9" i="10"/>
  <c r="W9" i="10" s="1"/>
  <c r="AE5" i="10"/>
  <c r="W5" i="10" s="1"/>
  <c r="AE28" i="10"/>
  <c r="W28" i="10" s="1"/>
  <c r="AE24" i="10"/>
  <c r="W24" i="10" s="1"/>
  <c r="AE20" i="10"/>
  <c r="W20" i="10" s="1"/>
  <c r="AE16" i="10"/>
  <c r="W16" i="10" s="1"/>
  <c r="AE12" i="10"/>
  <c r="W12" i="10" s="1"/>
  <c r="AE8" i="10"/>
  <c r="W8" i="10" s="1"/>
  <c r="AE30" i="10"/>
  <c r="W30" i="10" s="1"/>
  <c r="AE18" i="10"/>
  <c r="W18" i="10" s="1"/>
  <c r="AE25" i="10"/>
  <c r="W25" i="10" s="1"/>
  <c r="AE27" i="10"/>
  <c r="W27" i="10" s="1"/>
  <c r="AE23" i="10"/>
  <c r="W23" i="10" s="1"/>
  <c r="AE19" i="10"/>
  <c r="W19" i="10" s="1"/>
  <c r="AE15" i="10"/>
  <c r="W15" i="10" s="1"/>
  <c r="AE11" i="10"/>
  <c r="W11" i="10" s="1"/>
  <c r="AE7" i="10"/>
  <c r="W7" i="10" s="1"/>
  <c r="D43" i="14"/>
  <c r="E44" i="14"/>
  <c r="E43" i="14"/>
  <c r="D42" i="14"/>
  <c r="D45" i="14"/>
  <c r="E46" i="14"/>
  <c r="D44" i="14"/>
  <c r="E45" i="14"/>
  <c r="C42" i="14"/>
  <c r="D46" i="14"/>
  <c r="E42" i="14"/>
  <c r="R37" i="9"/>
  <c r="V18" i="10" l="1"/>
  <c r="V24" i="10"/>
  <c r="V30" i="10"/>
  <c r="V16" i="10"/>
  <c r="V6" i="10"/>
  <c r="V14" i="10"/>
  <c r="V26" i="10"/>
  <c r="V10" i="10"/>
  <c r="V22" i="10"/>
  <c r="V7" i="10"/>
  <c r="V15" i="10"/>
  <c r="V23" i="10"/>
  <c r="V25" i="10"/>
  <c r="V12" i="10"/>
  <c r="V20" i="10"/>
  <c r="V28" i="10"/>
  <c r="V9" i="10"/>
  <c r="V17" i="10"/>
  <c r="V29" i="10"/>
  <c r="V11" i="10"/>
  <c r="V19" i="10"/>
  <c r="V27" i="10"/>
  <c r="V8" i="10"/>
  <c r="V5" i="10"/>
  <c r="V13" i="10"/>
  <c r="V21" i="10"/>
  <c r="L33" i="10"/>
  <c r="K32" i="10"/>
  <c r="L34" i="10"/>
  <c r="K33" i="10"/>
  <c r="L35" i="10"/>
  <c r="K34" i="10"/>
  <c r="L32" i="10"/>
  <c r="K35" i="10"/>
  <c r="R34" i="10"/>
  <c r="U34" i="10"/>
  <c r="Q34" i="10"/>
  <c r="T34" i="10"/>
  <c r="S34" i="10"/>
  <c r="S37" i="9" l="1"/>
  <c r="S35" i="9"/>
  <c r="S34" i="9"/>
  <c r="S33" i="9"/>
  <c r="R35" i="9"/>
  <c r="R34" i="9"/>
  <c r="R33" i="9"/>
  <c r="Q37" i="9"/>
  <c r="Q35" i="9"/>
  <c r="Q34" i="9"/>
  <c r="Q33" i="9"/>
  <c r="U33" i="9" l="1"/>
  <c r="A3" i="19"/>
  <c r="A4" i="19"/>
  <c r="A13" i="19" s="1"/>
  <c r="A5" i="19"/>
  <c r="A14" i="19" s="1"/>
  <c r="A6" i="19"/>
  <c r="A15" i="19" s="1"/>
  <c r="A7" i="19"/>
  <c r="A16" i="19" s="1"/>
  <c r="B2" i="19"/>
  <c r="C2" i="19"/>
  <c r="D2" i="19"/>
  <c r="E2" i="19"/>
  <c r="A2" i="19"/>
  <c r="A10" i="19" s="1"/>
  <c r="A12" i="19"/>
  <c r="F1" i="17" l="1"/>
  <c r="F2" i="17"/>
  <c r="F3"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1" i="17"/>
  <c r="A2" i="17"/>
  <c r="C2" i="17"/>
  <c r="D2" i="17"/>
  <c r="A3" i="17"/>
  <c r="C3" i="17"/>
  <c r="D3" i="17"/>
  <c r="A4" i="17"/>
  <c r="C4" i="17"/>
  <c r="D4" i="17"/>
  <c r="A5" i="17"/>
  <c r="C5" i="17"/>
  <c r="D5" i="17"/>
  <c r="A6" i="17"/>
  <c r="C6" i="17"/>
  <c r="D6" i="17"/>
  <c r="A7" i="17"/>
  <c r="C7" i="17"/>
  <c r="D7" i="17"/>
  <c r="A8" i="17"/>
  <c r="C8" i="17"/>
  <c r="D8" i="17"/>
  <c r="A9" i="17"/>
  <c r="C9" i="17"/>
  <c r="D9" i="17"/>
  <c r="A10" i="17"/>
  <c r="C10" i="17"/>
  <c r="D10" i="17"/>
  <c r="A11" i="17"/>
  <c r="C11" i="17"/>
  <c r="D11" i="17"/>
  <c r="A12" i="17"/>
  <c r="C12" i="17"/>
  <c r="D12" i="17"/>
  <c r="A13" i="17"/>
  <c r="C13" i="17"/>
  <c r="D13" i="17"/>
  <c r="A14" i="17"/>
  <c r="C14" i="17"/>
  <c r="D14" i="17"/>
  <c r="A15" i="17"/>
  <c r="C15" i="17"/>
  <c r="D15" i="17"/>
  <c r="A16" i="17"/>
  <c r="C16" i="17"/>
  <c r="D16" i="17"/>
  <c r="A17" i="17"/>
  <c r="C17" i="17"/>
  <c r="D17" i="17"/>
  <c r="A18" i="17"/>
  <c r="C18" i="17"/>
  <c r="D18" i="17"/>
  <c r="A19" i="17"/>
  <c r="C19" i="17"/>
  <c r="D19" i="17"/>
  <c r="A20" i="17"/>
  <c r="C20" i="17"/>
  <c r="D20" i="17"/>
  <c r="A21" i="17"/>
  <c r="C21" i="17"/>
  <c r="D21" i="17"/>
  <c r="A22" i="17"/>
  <c r="C22" i="17"/>
  <c r="D22" i="17"/>
  <c r="A23" i="17"/>
  <c r="C23" i="17"/>
  <c r="D23" i="17"/>
  <c r="A24" i="17"/>
  <c r="C24" i="17"/>
  <c r="D24" i="17"/>
  <c r="A25" i="17"/>
  <c r="C25" i="17"/>
  <c r="D25" i="17"/>
  <c r="A26" i="17"/>
  <c r="C26" i="17"/>
  <c r="D26" i="17"/>
  <c r="A27" i="17"/>
  <c r="C27" i="17"/>
  <c r="D27" i="17"/>
  <c r="A28" i="17"/>
  <c r="C28" i="17"/>
  <c r="D28" i="17"/>
  <c r="B1" i="17"/>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4" i="10"/>
  <c r="B6" i="17"/>
  <c r="B7" i="17"/>
  <c r="B8" i="17"/>
  <c r="B9" i="17"/>
  <c r="B10" i="17"/>
  <c r="B11" i="17"/>
  <c r="B12" i="17"/>
  <c r="B13" i="17"/>
  <c r="B14" i="17"/>
  <c r="B15" i="17"/>
  <c r="B16" i="17"/>
  <c r="B18" i="17"/>
  <c r="B17" i="17"/>
  <c r="B19" i="17"/>
  <c r="B20" i="17"/>
  <c r="B21" i="17"/>
  <c r="B23" i="17"/>
  <c r="B24" i="17"/>
  <c r="B25" i="17"/>
  <c r="B26" i="17"/>
  <c r="B27" i="17"/>
  <c r="B28" i="17"/>
  <c r="U21" i="9"/>
  <c r="V21" i="9" s="1"/>
  <c r="W21" i="9"/>
  <c r="X21" i="9" s="1"/>
  <c r="B5" i="17" l="1"/>
  <c r="B22" i="17"/>
  <c r="C16" i="10"/>
  <c r="C14" i="10"/>
  <c r="C15" i="10"/>
  <c r="C13" i="10"/>
  <c r="B4" i="17"/>
  <c r="C12" i="10"/>
  <c r="C11" i="10"/>
  <c r="C9" i="10"/>
  <c r="C10" i="10"/>
  <c r="C8" i="10"/>
  <c r="C5" i="10"/>
  <c r="C4" i="10"/>
  <c r="C6" i="10"/>
  <c r="C7" i="10"/>
  <c r="Z21" i="9"/>
  <c r="Y21" i="9"/>
  <c r="AD21" i="9"/>
  <c r="C1" i="17"/>
  <c r="D1" i="17"/>
  <c r="G1" i="17"/>
  <c r="H1" i="17"/>
  <c r="A1" i="17"/>
  <c r="H17" i="17" l="1"/>
  <c r="G17" i="17"/>
  <c r="U37" i="9"/>
  <c r="K4" i="10" l="1"/>
  <c r="U8" i="9" l="1"/>
  <c r="V8" i="9" s="1"/>
  <c r="W8" i="9"/>
  <c r="U9" i="9"/>
  <c r="V9" i="9" s="1"/>
  <c r="W9" i="9"/>
  <c r="U7" i="9"/>
  <c r="V7" i="9" s="1"/>
  <c r="W7" i="9"/>
  <c r="U6" i="9"/>
  <c r="W6" i="9"/>
  <c r="U10" i="9"/>
  <c r="V10" i="9" s="1"/>
  <c r="W10" i="9"/>
  <c r="U11" i="9"/>
  <c r="V11" i="9" s="1"/>
  <c r="W11" i="9"/>
  <c r="U12" i="9"/>
  <c r="V12" i="9" s="1"/>
  <c r="W12" i="9"/>
  <c r="U13" i="9"/>
  <c r="V13" i="9" s="1"/>
  <c r="W13" i="9"/>
  <c r="U14" i="9"/>
  <c r="V14" i="9" s="1"/>
  <c r="W14" i="9"/>
  <c r="U15" i="9"/>
  <c r="V15" i="9" s="1"/>
  <c r="W15" i="9"/>
  <c r="U16" i="9"/>
  <c r="V16" i="9" s="1"/>
  <c r="W16" i="9"/>
  <c r="U17" i="9"/>
  <c r="V17" i="9" s="1"/>
  <c r="W17" i="9"/>
  <c r="U18" i="9"/>
  <c r="V18" i="9" s="1"/>
  <c r="W18" i="9"/>
  <c r="U19" i="9"/>
  <c r="V19" i="9" s="1"/>
  <c r="W19" i="9"/>
  <c r="U20" i="9"/>
  <c r="V20" i="9" s="1"/>
  <c r="W20" i="9"/>
  <c r="U22" i="9"/>
  <c r="V22" i="9" s="1"/>
  <c r="W22" i="9"/>
  <c r="U23" i="9"/>
  <c r="V23" i="9" s="1"/>
  <c r="W23" i="9"/>
  <c r="U24" i="9"/>
  <c r="V24" i="9" s="1"/>
  <c r="W24" i="9"/>
  <c r="U25" i="9"/>
  <c r="V25" i="9" s="1"/>
  <c r="W25" i="9"/>
  <c r="U26" i="9"/>
  <c r="V26" i="9" s="1"/>
  <c r="W26" i="9"/>
  <c r="U27" i="9"/>
  <c r="V27" i="9" s="1"/>
  <c r="W27" i="9"/>
  <c r="U28" i="9"/>
  <c r="V28" i="9" s="1"/>
  <c r="W28" i="9"/>
  <c r="U29" i="9"/>
  <c r="V29" i="9" s="1"/>
  <c r="W29" i="9"/>
  <c r="U30" i="9"/>
  <c r="V30" i="9" s="1"/>
  <c r="W30" i="9"/>
  <c r="U31" i="9"/>
  <c r="V31" i="9" s="1"/>
  <c r="W31" i="9"/>
  <c r="U32" i="9"/>
  <c r="V32" i="9" s="1"/>
  <c r="W32" i="9"/>
  <c r="V6" i="9" l="1"/>
  <c r="AA6" i="9"/>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B22" i="14"/>
  <c r="B4" i="19" s="1"/>
  <c r="B21" i="14"/>
  <c r="B3" i="19" s="1"/>
  <c r="B12" i="19" s="1"/>
  <c r="AD27" i="9"/>
  <c r="X32" i="9"/>
  <c r="X28" i="9"/>
  <c r="X24" i="9"/>
  <c r="X22" i="9"/>
  <c r="X20" i="9"/>
  <c r="X18" i="9"/>
  <c r="X16" i="9"/>
  <c r="X14" i="9"/>
  <c r="X12" i="9"/>
  <c r="X7" i="9"/>
  <c r="X8" i="9"/>
  <c r="B5" i="19"/>
  <c r="X31" i="9"/>
  <c r="X29" i="9"/>
  <c r="X27" i="9"/>
  <c r="X25" i="9"/>
  <c r="X23" i="9"/>
  <c r="X19" i="9"/>
  <c r="X17" i="9"/>
  <c r="X15" i="9"/>
  <c r="X13" i="9"/>
  <c r="X11" i="9"/>
  <c r="X6" i="9"/>
  <c r="X9" i="9"/>
  <c r="B7" i="19"/>
  <c r="B6" i="19"/>
  <c r="AD10" i="9"/>
  <c r="AD22" i="9"/>
  <c r="AD26" i="9"/>
  <c r="AD12" i="9"/>
  <c r="AD11" i="9"/>
  <c r="S36" i="9"/>
  <c r="AD32" i="9"/>
  <c r="AD31" i="9"/>
  <c r="AD28" i="9"/>
  <c r="AD7" i="9"/>
  <c r="AD9" i="9"/>
  <c r="AD17" i="9"/>
  <c r="AD15" i="9"/>
  <c r="AD14" i="9"/>
  <c r="X10" i="9"/>
  <c r="X26" i="9"/>
  <c r="AD25" i="9"/>
  <c r="AD23" i="9"/>
  <c r="Q36" i="9"/>
  <c r="AD30" i="9"/>
  <c r="AD16" i="9"/>
  <c r="AD13" i="9"/>
  <c r="AD6" i="9"/>
  <c r="U34" i="9"/>
  <c r="AD19" i="9"/>
  <c r="AD18" i="9"/>
  <c r="AD29" i="9"/>
  <c r="X30" i="9"/>
  <c r="W37" i="9" s="1"/>
  <c r="AD24" i="9"/>
  <c r="AD20" i="9"/>
  <c r="AD8" i="9"/>
  <c r="U35" i="9"/>
  <c r="R36" i="9"/>
  <c r="AB7" i="9" l="1"/>
  <c r="AB11" i="9"/>
  <c r="AB15" i="9"/>
  <c r="AB19" i="9"/>
  <c r="AB23" i="9"/>
  <c r="AB27" i="9"/>
  <c r="AB31" i="9"/>
  <c r="AB12" i="9"/>
  <c r="AB16" i="9"/>
  <c r="AB20" i="9"/>
  <c r="AB28" i="9"/>
  <c r="AB9" i="9"/>
  <c r="AB17" i="9"/>
  <c r="AB25" i="9"/>
  <c r="AB6" i="9"/>
  <c r="AB14" i="9"/>
  <c r="AB22" i="9"/>
  <c r="AB30" i="9"/>
  <c r="AB8" i="9"/>
  <c r="AB24" i="9"/>
  <c r="AB32" i="9"/>
  <c r="AB13" i="9"/>
  <c r="AB21" i="9"/>
  <c r="AB29" i="9"/>
  <c r="AB10" i="9"/>
  <c r="AB18" i="9"/>
  <c r="AB26" i="9"/>
  <c r="B13" i="19"/>
  <c r="E22" i="14"/>
  <c r="D23" i="14"/>
  <c r="C24" i="14"/>
  <c r="D21" i="14"/>
  <c r="D25" i="14"/>
  <c r="D24" i="14"/>
  <c r="E21" i="14"/>
  <c r="D22" i="14"/>
  <c r="C21" i="14"/>
  <c r="C25" i="14"/>
  <c r="C23" i="14"/>
  <c r="C22" i="14"/>
  <c r="E25" i="14"/>
  <c r="E24" i="14"/>
  <c r="E23" i="14"/>
  <c r="B14" i="19"/>
  <c r="B15" i="19" s="1"/>
  <c r="AD37" i="9"/>
  <c r="I32" i="17" s="1"/>
  <c r="X37" i="9"/>
  <c r="W35" i="9"/>
  <c r="AD35" i="9" s="1"/>
  <c r="I30" i="17" s="1"/>
  <c r="W33" i="9"/>
  <c r="AD33" i="9" s="1"/>
  <c r="W34" i="9"/>
  <c r="AD34" i="9" s="1"/>
  <c r="I29" i="17" s="1"/>
  <c r="AE30" i="9"/>
  <c r="AE19" i="9"/>
  <c r="AE32" i="9"/>
  <c r="Z11" i="9"/>
  <c r="H7" i="17" s="1"/>
  <c r="AE11" i="9"/>
  <c r="AE29" i="9"/>
  <c r="AE7" i="9"/>
  <c r="AE18" i="9"/>
  <c r="AE26" i="9"/>
  <c r="AE13" i="9"/>
  <c r="AE23" i="9"/>
  <c r="Y31" i="9"/>
  <c r="G27" i="17" s="1"/>
  <c r="AE31" i="9"/>
  <c r="AE12" i="9"/>
  <c r="AE20" i="9"/>
  <c r="AE9" i="9"/>
  <c r="Y25" i="9"/>
  <c r="G21" i="17" s="1"/>
  <c r="AE25" i="9"/>
  <c r="AE10" i="9"/>
  <c r="AE6" i="9"/>
  <c r="AE17" i="9"/>
  <c r="AE27" i="9"/>
  <c r="AE8" i="9"/>
  <c r="Z16" i="9"/>
  <c r="H12" i="17" s="1"/>
  <c r="AE16" i="9"/>
  <c r="AE21" i="9"/>
  <c r="AE24" i="9"/>
  <c r="AE28" i="9"/>
  <c r="AE15" i="9"/>
  <c r="AE14" i="9"/>
  <c r="AE22" i="9"/>
  <c r="Z25" i="9"/>
  <c r="H21" i="17" s="1"/>
  <c r="Z31" i="9"/>
  <c r="H27" i="17" s="1"/>
  <c r="Y13" i="9"/>
  <c r="G9" i="17" s="1"/>
  <c r="Y19" i="9"/>
  <c r="G15" i="17" s="1"/>
  <c r="Z23" i="9"/>
  <c r="H19" i="17" s="1"/>
  <c r="Z22" i="9"/>
  <c r="H18" i="17" s="1"/>
  <c r="Z12" i="9"/>
  <c r="H8" i="17" s="1"/>
  <c r="Y16" i="9"/>
  <c r="G12" i="17" s="1"/>
  <c r="Y12" i="9"/>
  <c r="G8" i="17" s="1"/>
  <c r="Y14" i="9"/>
  <c r="G10" i="17" s="1"/>
  <c r="Y22" i="9"/>
  <c r="G18" i="17" s="1"/>
  <c r="Y28" i="9"/>
  <c r="G24" i="17" s="1"/>
  <c r="Z14" i="9"/>
  <c r="H10" i="17" s="1"/>
  <c r="Z24" i="9"/>
  <c r="H20" i="17" s="1"/>
  <c r="Y8" i="9"/>
  <c r="Y24" i="9"/>
  <c r="G20" i="17" s="1"/>
  <c r="Z8" i="9"/>
  <c r="Z20" i="9"/>
  <c r="H16" i="17" s="1"/>
  <c r="Y20" i="9"/>
  <c r="G16" i="17" s="1"/>
  <c r="Y32" i="9"/>
  <c r="G28" i="17" s="1"/>
  <c r="Z32" i="9"/>
  <c r="H28" i="17" s="1"/>
  <c r="Z29" i="9"/>
  <c r="H25" i="17" s="1"/>
  <c r="Y6" i="9"/>
  <c r="Z17" i="9"/>
  <c r="H13" i="17" s="1"/>
  <c r="Z13" i="9"/>
  <c r="H9" i="17" s="1"/>
  <c r="Y23" i="9"/>
  <c r="G19" i="17" s="1"/>
  <c r="Z15" i="9"/>
  <c r="H11" i="17" s="1"/>
  <c r="Y11" i="9"/>
  <c r="G7" i="17" s="1"/>
  <c r="Z6" i="9"/>
  <c r="Y29" i="9"/>
  <c r="G25" i="17" s="1"/>
  <c r="Y17" i="9"/>
  <c r="G13" i="17" s="1"/>
  <c r="Y26" i="9"/>
  <c r="G22" i="17" s="1"/>
  <c r="Z7" i="9"/>
  <c r="Z18" i="9"/>
  <c r="H14" i="17" s="1"/>
  <c r="Z28" i="9"/>
  <c r="H24" i="17" s="1"/>
  <c r="Z9" i="9"/>
  <c r="Z27" i="9"/>
  <c r="H23" i="17" s="1"/>
  <c r="Y30" i="9"/>
  <c r="G26" i="17" s="1"/>
  <c r="Z19" i="9"/>
  <c r="H15" i="17" s="1"/>
  <c r="Y9" i="9"/>
  <c r="Y15" i="9"/>
  <c r="G11" i="17" s="1"/>
  <c r="Y27" i="9"/>
  <c r="G23" i="17" s="1"/>
  <c r="Y18" i="9"/>
  <c r="G14" i="17" s="1"/>
  <c r="Y10" i="9"/>
  <c r="G6" i="17" s="1"/>
  <c r="Y7" i="9"/>
  <c r="Z10" i="9"/>
  <c r="H6" i="17" s="1"/>
  <c r="Z30" i="9"/>
  <c r="H26" i="17" s="1"/>
  <c r="Z26" i="9"/>
  <c r="H22" i="17" s="1"/>
  <c r="U36" i="9"/>
  <c r="C43" i="14"/>
  <c r="C44" i="14"/>
  <c r="C45" i="14"/>
  <c r="C46" i="14"/>
  <c r="B7" i="15"/>
  <c r="G3" i="17" l="1"/>
  <c r="H3" i="17"/>
  <c r="G5" i="17"/>
  <c r="H5" i="17"/>
  <c r="X34" i="9"/>
  <c r="Z34" i="9" s="1"/>
  <c r="H30" i="17" s="1"/>
  <c r="G2" i="17"/>
  <c r="G4" i="17"/>
  <c r="H4" i="17"/>
  <c r="X35" i="9"/>
  <c r="Y35" i="9" s="1"/>
  <c r="G31" i="17" s="1"/>
  <c r="B16" i="19"/>
  <c r="X33" i="9"/>
  <c r="Y33" i="9" s="1"/>
  <c r="G29" i="17" s="1"/>
  <c r="Y37" i="9"/>
  <c r="G33" i="17" s="1"/>
  <c r="Z37" i="9"/>
  <c r="H33" i="17" s="1"/>
  <c r="U38" i="9"/>
  <c r="C11" i="19"/>
  <c r="C12" i="19" s="1"/>
  <c r="C13" i="19" s="1"/>
  <c r="C14" i="19" s="1"/>
  <c r="C15" i="19" s="1"/>
  <c r="H2" i="17"/>
  <c r="Y34" i="9"/>
  <c r="G30" i="17" s="1"/>
  <c r="V34" i="10"/>
  <c r="L30" i="10"/>
  <c r="M30" i="10" s="1"/>
  <c r="K30" i="10"/>
  <c r="L29" i="10"/>
  <c r="M29" i="10" s="1"/>
  <c r="K29" i="10"/>
  <c r="P29" i="10" s="1"/>
  <c r="L28" i="10"/>
  <c r="M28" i="10" s="1"/>
  <c r="K28" i="10"/>
  <c r="L27" i="10"/>
  <c r="M27" i="10" s="1"/>
  <c r="K27" i="10"/>
  <c r="P27" i="10" s="1"/>
  <c r="L26" i="10"/>
  <c r="M26" i="10" s="1"/>
  <c r="K26" i="10"/>
  <c r="P26" i="10" s="1"/>
  <c r="L25" i="10"/>
  <c r="M25" i="10" s="1"/>
  <c r="K25" i="10"/>
  <c r="P25" i="10" s="1"/>
  <c r="X24" i="10"/>
  <c r="L24" i="10"/>
  <c r="M24" i="10" s="1"/>
  <c r="K24" i="10"/>
  <c r="P24" i="10" s="1"/>
  <c r="L23" i="10"/>
  <c r="M23" i="10" s="1"/>
  <c r="K23" i="10"/>
  <c r="L22" i="10"/>
  <c r="M22" i="10" s="1"/>
  <c r="K22" i="10"/>
  <c r="L21" i="10"/>
  <c r="M21" i="10" s="1"/>
  <c r="K21" i="10"/>
  <c r="P21" i="10" s="1"/>
  <c r="L20" i="10"/>
  <c r="M20" i="10" s="1"/>
  <c r="K20" i="10"/>
  <c r="L19" i="10"/>
  <c r="M19" i="10" s="1"/>
  <c r="K19" i="10"/>
  <c r="L18" i="10"/>
  <c r="M18" i="10" s="1"/>
  <c r="K18" i="10"/>
  <c r="P18" i="10" s="1"/>
  <c r="L17" i="10"/>
  <c r="M17" i="10" s="1"/>
  <c r="K17" i="10"/>
  <c r="L16" i="10"/>
  <c r="M16" i="10" s="1"/>
  <c r="K16" i="10"/>
  <c r="P16" i="10" s="1"/>
  <c r="L15" i="10"/>
  <c r="M15" i="10" s="1"/>
  <c r="K15" i="10"/>
  <c r="P15" i="10" s="1"/>
  <c r="L14" i="10"/>
  <c r="M14" i="10" s="1"/>
  <c r="K14" i="10"/>
  <c r="P14" i="10" s="1"/>
  <c r="L13" i="10"/>
  <c r="M13" i="10" s="1"/>
  <c r="K13" i="10"/>
  <c r="L12" i="10"/>
  <c r="M12" i="10" s="1"/>
  <c r="K12" i="10"/>
  <c r="L11" i="10"/>
  <c r="M11" i="10" s="1"/>
  <c r="K11" i="10"/>
  <c r="L10" i="10"/>
  <c r="M10" i="10" s="1"/>
  <c r="K10" i="10"/>
  <c r="P10" i="10" s="1"/>
  <c r="L9" i="10"/>
  <c r="M9" i="10" s="1"/>
  <c r="K9" i="10"/>
  <c r="L8" i="10"/>
  <c r="M8" i="10" s="1"/>
  <c r="K8" i="10"/>
  <c r="P8" i="10" s="1"/>
  <c r="L7" i="10"/>
  <c r="M7" i="10" s="1"/>
  <c r="K7" i="10"/>
  <c r="P7" i="10" s="1"/>
  <c r="L6" i="10"/>
  <c r="M6" i="10" s="1"/>
  <c r="K6" i="10"/>
  <c r="P6" i="10" s="1"/>
  <c r="L5" i="10"/>
  <c r="M5" i="10" s="1"/>
  <c r="K5" i="10"/>
  <c r="L4" i="10"/>
  <c r="M4" i="10" s="1"/>
  <c r="Z35" i="9" l="1"/>
  <c r="H31" i="17" s="1"/>
  <c r="Z33" i="9"/>
  <c r="H29" i="17" s="1"/>
  <c r="L31" i="10"/>
  <c r="P5" i="10"/>
  <c r="K31" i="10"/>
  <c r="W36" i="9"/>
  <c r="X36" i="9" s="1"/>
  <c r="Z36" i="9" s="1"/>
  <c r="H32" i="17" s="1"/>
  <c r="C16" i="19"/>
  <c r="AA24" i="10"/>
  <c r="AB24" i="10"/>
  <c r="AC24" i="10"/>
  <c r="Z24" i="10"/>
  <c r="N7" i="10"/>
  <c r="O16" i="10"/>
  <c r="N17" i="10"/>
  <c r="N19" i="10"/>
  <c r="O28" i="10"/>
  <c r="O4" i="10"/>
  <c r="O9" i="10"/>
  <c r="N15" i="10"/>
  <c r="O22" i="10"/>
  <c r="N27" i="10"/>
  <c r="O29" i="10"/>
  <c r="N18" i="10"/>
  <c r="N30" i="10"/>
  <c r="P4" i="10"/>
  <c r="N5" i="10"/>
  <c r="O6" i="10"/>
  <c r="P9" i="10"/>
  <c r="O11" i="10"/>
  <c r="P11" i="10"/>
  <c r="O20" i="10"/>
  <c r="O23" i="10"/>
  <c r="P23" i="10"/>
  <c r="N26" i="10"/>
  <c r="P28" i="10"/>
  <c r="O10" i="10"/>
  <c r="O19" i="10"/>
  <c r="P19" i="10"/>
  <c r="N21" i="10"/>
  <c r="N6" i="10"/>
  <c r="N11" i="10"/>
  <c r="O17" i="10"/>
  <c r="P17" i="10"/>
  <c r="S35" i="10" s="1"/>
  <c r="N23" i="10"/>
  <c r="O30" i="10"/>
  <c r="P30" i="10"/>
  <c r="N13" i="10"/>
  <c r="P13" i="10"/>
  <c r="O13" i="10"/>
  <c r="H33" i="10"/>
  <c r="I35" i="10"/>
  <c r="S33" i="10"/>
  <c r="H32" i="10"/>
  <c r="U35" i="10"/>
  <c r="V35" i="10" s="1"/>
  <c r="P33" i="10"/>
  <c r="U32" i="10"/>
  <c r="V32" i="10" s="1"/>
  <c r="I31" i="10"/>
  <c r="R35" i="10"/>
  <c r="P32" i="10"/>
  <c r="O5" i="10"/>
  <c r="P12" i="10"/>
  <c r="N12" i="10"/>
  <c r="X18" i="10"/>
  <c r="X17" i="10"/>
  <c r="O12" i="10"/>
  <c r="N4" i="10"/>
  <c r="N9" i="10"/>
  <c r="O15" i="10"/>
  <c r="N16" i="10"/>
  <c r="O7" i="10"/>
  <c r="O8" i="10"/>
  <c r="O14" i="10"/>
  <c r="P20" i="10"/>
  <c r="N20" i="10"/>
  <c r="N8" i="10"/>
  <c r="N10" i="10"/>
  <c r="N14" i="10"/>
  <c r="O18" i="10"/>
  <c r="O21" i="10"/>
  <c r="N22" i="10"/>
  <c r="P22" i="10"/>
  <c r="N24" i="10"/>
  <c r="O26" i="10"/>
  <c r="O27" i="10"/>
  <c r="N28" i="10"/>
  <c r="J32" i="10"/>
  <c r="Q32" i="10"/>
  <c r="T33" i="10"/>
  <c r="T35" i="10"/>
  <c r="P35" i="10"/>
  <c r="H35" i="10"/>
  <c r="J34" i="10"/>
  <c r="R33" i="10"/>
  <c r="I33" i="10"/>
  <c r="S32" i="10"/>
  <c r="H31" i="10"/>
  <c r="H34" i="10"/>
  <c r="U33" i="10"/>
  <c r="V33" i="10" s="1"/>
  <c r="Q33" i="10"/>
  <c r="J33" i="10"/>
  <c r="R32" i="10"/>
  <c r="I32" i="10"/>
  <c r="O24" i="10"/>
  <c r="Y24" i="10"/>
  <c r="O25" i="10"/>
  <c r="J31" i="10"/>
  <c r="T32" i="10"/>
  <c r="I34" i="10"/>
  <c r="J35" i="10"/>
  <c r="N25" i="10"/>
  <c r="N29" i="10"/>
  <c r="X16" i="10" l="1"/>
  <c r="AA16" i="10" s="1"/>
  <c r="Q4" i="10"/>
  <c r="X6" i="10" s="1"/>
  <c r="Z6" i="10" s="1"/>
  <c r="X5" i="10"/>
  <c r="AA5" i="10" s="1"/>
  <c r="X15" i="10"/>
  <c r="X11" i="10"/>
  <c r="Y11" i="10" s="1"/>
  <c r="AC11" i="10" s="1"/>
  <c r="W38" i="9"/>
  <c r="Y36" i="9"/>
  <c r="G32" i="17" s="1"/>
  <c r="AD36" i="9"/>
  <c r="I31" i="17" s="1"/>
  <c r="AA18" i="10"/>
  <c r="AB18" i="10"/>
  <c r="AC18" i="10"/>
  <c r="Z18" i="10"/>
  <c r="AA17" i="10"/>
  <c r="AC17" i="10"/>
  <c r="Z17" i="10"/>
  <c r="AB17" i="10"/>
  <c r="Q35" i="10"/>
  <c r="M32" i="10"/>
  <c r="X30" i="10"/>
  <c r="X22" i="10"/>
  <c r="X28" i="10"/>
  <c r="X21" i="10"/>
  <c r="M33" i="10"/>
  <c r="X19" i="10"/>
  <c r="X25" i="10"/>
  <c r="M34" i="10"/>
  <c r="P34" i="10"/>
  <c r="X27" i="10"/>
  <c r="X23" i="10"/>
  <c r="X29" i="10"/>
  <c r="Y18" i="10"/>
  <c r="M35" i="10"/>
  <c r="X14" i="10"/>
  <c r="X13" i="10"/>
  <c r="X12" i="10"/>
  <c r="X9" i="10"/>
  <c r="X20" i="10"/>
  <c r="Y17" i="10"/>
  <c r="S31" i="10"/>
  <c r="F7" i="15" s="1"/>
  <c r="P31" i="10"/>
  <c r="C7" i="15" s="1"/>
  <c r="X10" i="10"/>
  <c r="X26" i="10"/>
  <c r="M31" i="10"/>
  <c r="Y16" i="10" l="1"/>
  <c r="AB16" i="10"/>
  <c r="AC16" i="10"/>
  <c r="Z16" i="10"/>
  <c r="W4" i="10"/>
  <c r="Y6" i="10"/>
  <c r="U31" i="10"/>
  <c r="H7" i="15" s="1"/>
  <c r="T31" i="10"/>
  <c r="G7" i="15" s="1"/>
  <c r="Q31" i="10"/>
  <c r="D7" i="15" s="1"/>
  <c r="V4" i="10"/>
  <c r="R31" i="10"/>
  <c r="E7" i="15" s="1"/>
  <c r="X7" i="10"/>
  <c r="Y7" i="10" s="1"/>
  <c r="X8" i="10"/>
  <c r="Y5" i="10"/>
  <c r="AB5" i="10"/>
  <c r="AC5" i="10"/>
  <c r="Z5" i="10"/>
  <c r="AA15" i="10"/>
  <c r="Z15" i="10"/>
  <c r="AB15" i="10"/>
  <c r="AC15" i="10"/>
  <c r="Y15" i="10"/>
  <c r="Z11" i="10"/>
  <c r="AA11" i="10" s="1"/>
  <c r="AB11" i="10"/>
  <c r="Z38" i="9"/>
  <c r="H34" i="17" s="1"/>
  <c r="AD38" i="9"/>
  <c r="I33" i="17" s="1"/>
  <c r="Y38" i="9"/>
  <c r="G34" i="17" s="1"/>
  <c r="X38" i="9"/>
  <c r="AC6" i="10"/>
  <c r="AA20" i="10"/>
  <c r="AB20" i="10"/>
  <c r="AC20" i="10"/>
  <c r="Z20" i="10"/>
  <c r="AA29" i="10"/>
  <c r="AC29" i="10"/>
  <c r="AB29" i="10"/>
  <c r="Z29" i="10"/>
  <c r="AA30" i="10"/>
  <c r="Z30" i="10"/>
  <c r="AB30" i="10"/>
  <c r="AC30" i="10"/>
  <c r="AA26" i="10"/>
  <c r="AB26" i="10"/>
  <c r="AC26" i="10"/>
  <c r="Z26" i="10"/>
  <c r="AA13" i="10"/>
  <c r="Z13" i="10"/>
  <c r="AB13" i="10"/>
  <c r="AA23" i="10"/>
  <c r="AC23" i="10"/>
  <c r="Z23" i="10"/>
  <c r="AB23" i="10"/>
  <c r="AA19" i="10"/>
  <c r="AC19" i="10"/>
  <c r="Z19" i="10"/>
  <c r="AB19" i="10"/>
  <c r="AA21" i="10"/>
  <c r="AC21" i="10"/>
  <c r="Z21" i="10"/>
  <c r="AB21" i="10"/>
  <c r="Y22" i="10"/>
  <c r="AA22" i="10"/>
  <c r="AB22" i="10"/>
  <c r="AC22" i="10"/>
  <c r="Z22" i="10"/>
  <c r="AB6" i="10"/>
  <c r="AA12" i="10"/>
  <c r="AC12" i="10"/>
  <c r="AB12" i="10"/>
  <c r="Z12" i="10"/>
  <c r="AA25" i="10"/>
  <c r="AC25" i="10"/>
  <c r="Z25" i="10"/>
  <c r="AB25" i="10"/>
  <c r="AA28" i="10"/>
  <c r="Z28" i="10"/>
  <c r="AB28" i="10"/>
  <c r="AC28" i="10"/>
  <c r="AA10" i="10"/>
  <c r="AC10" i="10"/>
  <c r="Z10" i="10"/>
  <c r="AB10" i="10"/>
  <c r="Z9" i="10"/>
  <c r="AA9" i="10" s="1"/>
  <c r="AA14" i="10"/>
  <c r="AB14" i="10"/>
  <c r="AC14" i="10"/>
  <c r="Z14" i="10"/>
  <c r="AA27" i="10"/>
  <c r="AC27" i="10"/>
  <c r="AB27" i="10"/>
  <c r="Z27" i="10"/>
  <c r="AA6" i="10"/>
  <c r="C4" i="19"/>
  <c r="C7" i="19"/>
  <c r="C6" i="19"/>
  <c r="D6" i="19"/>
  <c r="E4" i="19"/>
  <c r="D3" i="19"/>
  <c r="D5" i="19"/>
  <c r="E7" i="19"/>
  <c r="E3" i="19"/>
  <c r="C3" i="19"/>
  <c r="E6" i="19"/>
  <c r="E5" i="19"/>
  <c r="D7" i="19"/>
  <c r="D4" i="19"/>
  <c r="C5" i="19"/>
  <c r="C8" i="15"/>
  <c r="Y28" i="10"/>
  <c r="Y30" i="10"/>
  <c r="V31" i="10"/>
  <c r="Y21" i="10"/>
  <c r="Y12" i="10"/>
  <c r="Y29" i="10"/>
  <c r="Y10" i="10"/>
  <c r="Y13" i="10"/>
  <c r="AC13" i="10" s="1"/>
  <c r="Y9" i="10"/>
  <c r="Y14" i="10"/>
  <c r="Y27" i="10"/>
  <c r="O31" i="10"/>
  <c r="N31" i="10"/>
  <c r="Y25" i="10"/>
  <c r="Y26" i="10"/>
  <c r="Y20" i="10"/>
  <c r="O35" i="10"/>
  <c r="N35" i="10"/>
  <c r="O32" i="10"/>
  <c r="N32" i="10"/>
  <c r="Y23" i="10"/>
  <c r="O34" i="10"/>
  <c r="N34" i="10"/>
  <c r="N33" i="10"/>
  <c r="O33" i="10"/>
  <c r="Y19" i="10"/>
  <c r="AB7" i="10" l="1"/>
  <c r="Z7" i="10"/>
  <c r="AA7" i="10"/>
  <c r="AC7" i="10"/>
  <c r="AC8" i="10"/>
  <c r="Y8" i="10"/>
  <c r="AB8" i="10"/>
  <c r="Z8" i="10"/>
  <c r="AA8" i="10"/>
  <c r="AB9" i="10"/>
  <c r="AC9" i="10"/>
  <c r="H8" i="15"/>
  <c r="D8" i="15"/>
  <c r="E8" i="15"/>
  <c r="G8" i="15"/>
  <c r="F8" i="15"/>
  <c r="B6" i="14" l="1"/>
  <c r="B5" i="14"/>
  <c r="X4" i="10" l="1"/>
  <c r="Y4" i="10" s="1"/>
  <c r="AF17" i="9" l="1"/>
  <c r="AH17" i="9" s="1"/>
  <c r="AF31" i="9"/>
  <c r="AI31" i="9" s="1"/>
  <c r="AF29" i="9"/>
  <c r="AG29" i="9" s="1"/>
  <c r="AF7" i="9"/>
  <c r="AH7" i="9" s="1"/>
  <c r="AF9" i="9"/>
  <c r="AI9" i="9" s="1"/>
  <c r="AF18" i="9"/>
  <c r="AI18" i="9" s="1"/>
  <c r="AF20" i="9"/>
  <c r="AI20" i="9" s="1"/>
  <c r="AF22" i="9"/>
  <c r="AG22" i="9" s="1"/>
  <c r="AF24" i="9"/>
  <c r="AI24" i="9" s="1"/>
  <c r="AF26" i="9"/>
  <c r="AI26" i="9" s="1"/>
  <c r="AF19" i="9"/>
  <c r="AI19" i="9" s="1"/>
  <c r="AF23" i="9"/>
  <c r="AG23" i="9" s="1"/>
  <c r="AF6" i="9"/>
  <c r="AF11" i="9"/>
  <c r="AF27" i="9"/>
  <c r="AF14" i="9"/>
  <c r="AF13" i="9"/>
  <c r="AF16" i="9"/>
  <c r="AF12" i="9"/>
  <c r="AF30" i="9"/>
  <c r="AF32" i="9"/>
  <c r="AF25" i="9"/>
  <c r="AF15" i="9"/>
  <c r="AF21" i="9"/>
  <c r="AF8" i="9"/>
  <c r="AA4" i="10"/>
  <c r="AB4" i="10"/>
  <c r="AF10" i="9"/>
  <c r="AC4" i="10"/>
  <c r="Z4" i="10"/>
  <c r="AF28" i="9"/>
  <c r="AI17" i="9" l="1"/>
  <c r="AH9" i="9"/>
  <c r="AH19" i="9"/>
  <c r="AG20" i="9"/>
  <c r="AH22" i="9"/>
  <c r="AI29" i="9"/>
  <c r="AG26" i="9"/>
  <c r="AG31" i="9"/>
  <c r="AH31" i="9"/>
  <c r="AH24" i="9"/>
  <c r="AG18" i="9"/>
  <c r="AH18" i="9"/>
  <c r="AH26" i="9"/>
  <c r="AI7" i="9"/>
  <c r="AG19" i="9"/>
  <c r="AG7" i="9"/>
  <c r="AI23" i="9"/>
  <c r="AI22" i="9"/>
  <c r="AH20" i="9"/>
  <c r="AG9" i="9"/>
  <c r="AG24" i="9"/>
  <c r="AH29" i="9"/>
  <c r="AG17" i="9"/>
  <c r="AH23" i="9"/>
  <c r="AG15" i="9"/>
  <c r="AH15" i="9"/>
  <c r="AI15" i="9"/>
  <c r="AI27" i="9"/>
  <c r="AG27" i="9"/>
  <c r="AH27" i="9"/>
  <c r="AI16" i="9"/>
  <c r="AG16" i="9"/>
  <c r="AH16" i="9"/>
  <c r="AI8" i="9"/>
  <c r="AH8" i="9"/>
  <c r="AG8" i="9"/>
  <c r="AG13" i="9"/>
  <c r="AH13" i="9"/>
  <c r="AI13" i="9"/>
  <c r="AI6" i="9"/>
  <c r="AG6" i="9"/>
  <c r="AH6" i="9"/>
  <c r="AG12" i="9"/>
  <c r="AI12" i="9"/>
  <c r="AH12" i="9"/>
  <c r="AG25" i="9"/>
  <c r="AI25" i="9"/>
  <c r="AH25" i="9"/>
  <c r="AH11" i="9"/>
  <c r="AG11" i="9"/>
  <c r="AI11" i="9"/>
  <c r="AG28" i="9"/>
  <c r="AI28" i="9"/>
  <c r="AH28" i="9"/>
  <c r="AI32" i="9"/>
  <c r="AG32" i="9"/>
  <c r="AH32" i="9"/>
  <c r="AH10" i="9"/>
  <c r="AG10" i="9"/>
  <c r="AI10" i="9"/>
  <c r="AI21" i="9"/>
  <c r="AH21" i="9"/>
  <c r="AG21" i="9"/>
  <c r="AH30" i="9"/>
  <c r="AG30" i="9"/>
  <c r="B4" i="14" s="1"/>
  <c r="AI30" i="9"/>
  <c r="AG14" i="9"/>
  <c r="AI14" i="9"/>
  <c r="AH14" i="9"/>
  <c r="B2" i="14" l="1"/>
  <c r="B3" i="14"/>
  <c r="C5" i="14" l="1"/>
  <c r="C3" i="14"/>
  <c r="D5" i="14"/>
  <c r="E4" i="14"/>
  <c r="E6" i="14"/>
  <c r="D3" i="14"/>
  <c r="E3" i="14"/>
  <c r="E2" i="14"/>
  <c r="C2" i="14"/>
  <c r="D4" i="14"/>
  <c r="C6" i="14"/>
  <c r="E5" i="14"/>
  <c r="D6" i="14"/>
  <c r="D2" i="14"/>
  <c r="C4" i="14"/>
  <c r="AC6" i="9" l="1"/>
  <c r="C6" i="9" s="1"/>
  <c r="AC8" i="9" l="1"/>
  <c r="C8" i="9" s="1"/>
  <c r="AC7" i="9" l="1"/>
  <c r="C7" i="9" s="1"/>
  <c r="AC9" i="9"/>
  <c r="C9" i="9" s="1"/>
  <c r="AC10" i="9" l="1"/>
  <c r="C10" i="9" s="1"/>
  <c r="AC11" i="9" l="1"/>
  <c r="C11" i="9" s="1"/>
  <c r="AC12" i="9" l="1"/>
  <c r="C12" i="9" s="1"/>
  <c r="AC13" i="9" l="1"/>
  <c r="C13" i="9" s="1"/>
  <c r="AC14" i="9" l="1"/>
  <c r="C14" i="9" s="1"/>
  <c r="AC15" i="9" l="1"/>
  <c r="C15" i="9" s="1"/>
  <c r="AC16" i="9" l="1"/>
  <c r="C16" i="9" s="1"/>
  <c r="AC17" i="9" l="1"/>
  <c r="C17" i="9" s="1"/>
  <c r="AC18" i="9" l="1"/>
  <c r="C18" i="9" s="1"/>
  <c r="AC19" i="9" l="1"/>
  <c r="C19" i="9" s="1"/>
  <c r="AC20" i="9" l="1"/>
  <c r="C20" i="9" s="1"/>
  <c r="AC21" i="9" l="1"/>
  <c r="C21" i="9" s="1"/>
  <c r="AC22" i="9" l="1"/>
  <c r="C22" i="9" s="1"/>
  <c r="AC23" i="9" l="1"/>
  <c r="C23" i="9" s="1"/>
  <c r="AC24" i="9" l="1"/>
  <c r="C24" i="9" s="1"/>
  <c r="AC25" i="9" l="1"/>
  <c r="C25" i="9" s="1"/>
  <c r="AC26" i="9" l="1"/>
  <c r="C26" i="9" s="1"/>
  <c r="AC27" i="9" l="1"/>
  <c r="C27" i="9" s="1"/>
  <c r="AC28" i="9" l="1"/>
  <c r="C28" i="9" s="1"/>
  <c r="AC29" i="9" l="1"/>
  <c r="C29" i="9" s="1"/>
  <c r="AC30" i="9" l="1"/>
  <c r="C30" i="9" s="1"/>
  <c r="AC32" i="9" l="1"/>
  <c r="C32" i="9" s="1"/>
  <c r="AC31" i="9"/>
  <c r="C31" i="9" s="1"/>
</calcChain>
</file>

<file path=xl/sharedStrings.xml><?xml version="1.0" encoding="utf-8"?>
<sst xmlns="http://schemas.openxmlformats.org/spreadsheetml/2006/main" count="513" uniqueCount="216">
  <si>
    <t>Id</t>
  </si>
  <si>
    <t>Tester + Date</t>
  </si>
  <si>
    <t>Test Author + Date</t>
  </si>
  <si>
    <t>Test outcome description</t>
  </si>
  <si>
    <t>Test Outcome code</t>
  </si>
  <si>
    <t>Test Codes</t>
  </si>
  <si>
    <t>OK</t>
  </si>
  <si>
    <t>Action done</t>
  </si>
  <si>
    <t>Link to detailed outcome description</t>
  </si>
  <si>
    <t>18.2</t>
  </si>
  <si>
    <t>24.2</t>
  </si>
  <si>
    <t>35.2</t>
  </si>
  <si>
    <t>30.3</t>
  </si>
  <si>
    <t>53.1</t>
  </si>
  <si>
    <t>25.2</t>
  </si>
  <si>
    <t>PBL Input</t>
  </si>
  <si>
    <t>MIN</t>
  </si>
  <si>
    <t>LIKELY</t>
  </si>
  <si>
    <t>MAX</t>
  </si>
  <si>
    <t>Mean</t>
  </si>
  <si>
    <t>StdDev</t>
  </si>
  <si>
    <t>Variance</t>
  </si>
  <si>
    <t>SUM</t>
  </si>
  <si>
    <t>Comment</t>
  </si>
  <si>
    <t>Category</t>
  </si>
  <si>
    <t>Sprint</t>
  </si>
  <si>
    <t>SUBTOTAL</t>
  </si>
  <si>
    <t>TOTAL</t>
  </si>
  <si>
    <t>N/A</t>
  </si>
  <si>
    <t>ID</t>
  </si>
  <si>
    <t>New Mean</t>
  </si>
  <si>
    <t>Implemented</t>
  </si>
  <si>
    <t>Ideal Burndown</t>
  </si>
  <si>
    <t>Average</t>
  </si>
  <si>
    <t>Min</t>
  </si>
  <si>
    <t>Max</t>
  </si>
  <si>
    <t>Velocity</t>
  </si>
  <si>
    <t>New PBL LMIN</t>
  </si>
  <si>
    <t>New PBL LMAX</t>
  </si>
  <si>
    <t>Not Tested</t>
  </si>
  <si>
    <t>NOK</t>
  </si>
  <si>
    <t>OK with Errors</t>
  </si>
  <si>
    <t>Task</t>
  </si>
  <si>
    <t>Current sprint</t>
  </si>
  <si>
    <t>Sprint Length</t>
  </si>
  <si>
    <t>Remaining Work</t>
  </si>
  <si>
    <t>Precision</t>
  </si>
  <si>
    <t>Out of Scope</t>
  </si>
  <si>
    <t>OoS</t>
  </si>
  <si>
    <t>Aggregated LMAX</t>
  </si>
  <si>
    <t>Acceptance Test Labels</t>
  </si>
  <si>
    <t>In Scope</t>
  </si>
  <si>
    <t>Acceptance Test</t>
  </si>
  <si>
    <t>Task ID</t>
  </si>
  <si>
    <t>Target
Precision
Level</t>
  </si>
  <si>
    <t>Requirement Breakdown
Unique Reference</t>
  </si>
  <si>
    <t>Precondition/ Context
(Given)</t>
  </si>
  <si>
    <t>Test specification description
(When)</t>
  </si>
  <si>
    <t>Expected result 
(Then)</t>
  </si>
  <si>
    <t>Weighted
Uncertainty
Contribution</t>
  </si>
  <si>
    <t>Lmin</t>
  </si>
  <si>
    <t>Lmax</t>
  </si>
  <si>
    <t>Tasks - Sprint Backlog</t>
  </si>
  <si>
    <t>Task
number</t>
  </si>
  <si>
    <t>Day 
0</t>
  </si>
  <si>
    <t>Day 
1</t>
  </si>
  <si>
    <t>Day 
2</t>
  </si>
  <si>
    <t>Day 
3</t>
  </si>
  <si>
    <t>Day 
4</t>
  </si>
  <si>
    <t>Day 
5</t>
  </si>
  <si>
    <t>Sprint
Remaining</t>
  </si>
  <si>
    <t>Test Case
Remaining</t>
  </si>
  <si>
    <t>Test Case 
ID Done</t>
  </si>
  <si>
    <t>New
Mean</t>
  </si>
  <si>
    <t>New 
Lmin</t>
  </si>
  <si>
    <t>New
Lmax</t>
  </si>
  <si>
    <t>Actual time
spent</t>
  </si>
  <si>
    <t>Days in
sprint</t>
  </si>
  <si>
    <t>End Day</t>
  </si>
  <si>
    <t>Velocity Chart based Original Estimates</t>
  </si>
  <si>
    <t>New Standard Deviation</t>
  </si>
  <si>
    <t>New Variance</t>
  </si>
  <si>
    <t>Aggregated Mean</t>
  </si>
  <si>
    <t>Acceptance Tests - Product Backlog</t>
  </si>
  <si>
    <t>Dependency</t>
  </si>
  <si>
    <t>End User</t>
  </si>
  <si>
    <t>Bug</t>
  </si>
  <si>
    <t>Yes</t>
  </si>
  <si>
    <t>No</t>
  </si>
  <si>
    <t>Prio</t>
  </si>
  <si>
    <t xml:space="preserve"> </t>
  </si>
  <si>
    <t>Aggregated Standard Deviation</t>
  </si>
  <si>
    <t xml:space="preserve">GIVEN </t>
  </si>
  <si>
    <t xml:space="preserve">WHEN </t>
  </si>
  <si>
    <t xml:space="preserve">THEN </t>
  </si>
  <si>
    <t>Points</t>
  </si>
  <si>
    <t>Use button below to change level of detail presented.</t>
  </si>
  <si>
    <t>Link to MADI Artifacts</t>
  </si>
  <si>
    <t>GIVEN  you are logged in to the system as test lead
WHEN chosing to create a test sequence
THEN you should be able to add tests and save and name test sequence</t>
  </si>
  <si>
    <t>GIVEN you are logged in as test lead, local editor, master editor
WHEN chosing to create a test routine
THEN you should be able to add test sequence, test cases and be able to save it with a name.</t>
  </si>
  <si>
    <t>GIVEN =CONCATENATE(Parameters!$B$2;F6;CHAR(10);Parameters!$B$3;G6;CHAR(10);Parameters!$B$4;H6)</t>
  </si>
  <si>
    <t>chosing to create a test sequence</t>
  </si>
  <si>
    <t>you are logged in as test lead, local editor, master editor</t>
  </si>
  <si>
    <t xml:space="preserve"> chosing to create a test routine</t>
  </si>
  <si>
    <t xml:space="preserve"> chosing to create a test case</t>
  </si>
  <si>
    <t>chosing to edit a test case</t>
  </si>
  <si>
    <t>TCR2</t>
  </si>
  <si>
    <t>you are logged in to the system</t>
  </si>
  <si>
    <t>You should be able to see the data connected to the test case</t>
  </si>
  <si>
    <t>chosing to view a test case</t>
  </si>
  <si>
    <t>TCR3</t>
  </si>
  <si>
    <t>arto</t>
  </si>
  <si>
    <t>You are logged in as Master editor to the system</t>
  </si>
  <si>
    <t>You should get a log specifying when it was changed and  it should be possible to see what was changed between two dates. Export-possibility to share information with stakeholders outside system.</t>
  </si>
  <si>
    <t>Chosing a test sequence or a test case</t>
  </si>
  <si>
    <t>You select to view a log of test case changes.</t>
  </si>
  <si>
    <t>When updating a test case creating a new version</t>
  </si>
  <si>
    <t>Should be possible to view test cases for different categories (truck functions)</t>
  </si>
  <si>
    <t>You are logged in as Local editor to the system</t>
  </si>
  <si>
    <t>When chosing to view test cases</t>
  </si>
  <si>
    <t>You should have an easy overview of test cases and a possibility to easily extract or share the data with people with no access to the system</t>
  </si>
  <si>
    <r>
      <t>You should be able to see when test sequence or tests within the sequence were latest used.</t>
    </r>
    <r>
      <rPr>
        <b/>
        <sz val="8"/>
        <rFont val="Arial"/>
        <family val="2"/>
      </rPr>
      <t xml:space="preserve"> (This is needed to be able to sort\hide or remove test cases).</t>
    </r>
  </si>
  <si>
    <t>You should be able to search test cases for different categories(truck functions).</t>
  </si>
  <si>
    <t>when  choosing a variant for a specific product class</t>
  </si>
  <si>
    <t>You should see valid test cases for that variant and product class combination.</t>
  </si>
  <si>
    <t>You are logged in as test lead</t>
  </si>
  <si>
    <t>when coosing one or more test cases and tag them with predefined tags as( back office, features, testcase version, navigation, raining, snow).  You should be able to add tags to one or more test cases</t>
  </si>
  <si>
    <t>Test cases should be updated with the tag.</t>
  </si>
  <si>
    <t xml:space="preserve"> you should be able to add test cases and save and name test sequence with a uniqe name</t>
  </si>
  <si>
    <t xml:space="preserve"> you are logged in to the system as test lead, Master editor, Local editor</t>
  </si>
  <si>
    <t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t>
  </si>
  <si>
    <t>you should be able to add description and create a protocol(Add activities as check list).
You should aso be able to chose periodicity.(one time every morning other.)</t>
  </si>
  <si>
    <t>Manage test components</t>
  </si>
  <si>
    <t>TCR1</t>
  </si>
  <si>
    <t xml:space="preserve">You should be able to edit data and save the test case.
Test case will get a new version.
The change will be logged(who and when).
</t>
  </si>
  <si>
    <t>selecting multiple test cases for editing</t>
  </si>
  <si>
    <t>You should be able to sort and select test cases and replace words in description and expected results for the selected test cases  or add or remove variants\product classes</t>
  </si>
  <si>
    <t xml:space="preserve">You should be able to chose to specify what node(truck function) the thest belongs to.
You should be able to add a description of the test and an expected result.
You should be able to chose for which variants and product class the test case are valid for.
You should be able to select a category for which the test belong(private,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leaders.
</t>
  </si>
  <si>
    <t>You should be able to address owners of custom test sequence about the change through the system. Be able to send out a  notice or similar.</t>
  </si>
  <si>
    <t>AM] As a Local Editor, I want to have a good overview of how many test cases and of what type in all categories (truck functions). To have a quick way of detecting areas missing test cases or having too many.</t>
  </si>
  <si>
    <t>AM] As a Local Editor, I want to have a quick and easy way of selecting test cases and export them. When receiving requests from people without access to the system to look at specific test cases.</t>
  </si>
  <si>
    <t>AM] As a Master Editor, when updating a existing test case (creating a new version) I want to be able to send out a notice to the oweners of custom test sequences using the test case.</t>
  </si>
  <si>
    <t>[AM] As a Master Editor, I want to see when a test case and test sequence was last used (Exported). To be able to manage (delete/hide/sort) unused test cases and sequences.</t>
  </si>
  <si>
    <t>AM] As a Master Editor, I want a changelog of all changes made in test cases and be able to export a list of changes between two dates. To inform interested parties of changes made.</t>
  </si>
  <si>
    <t>AM] As a Master Editor, I want to select multiple test cases and make the same change/addition to all of them. Get away from repetitive and time consuming work.
Find &amp; Replace words in test case
 Add/remove variants / product classes</t>
  </si>
  <si>
    <t>[AM] As a Master Editor I would like the possiblity to keep an old version of a test case. Getting a notice when a new version of a test case is available.</t>
  </si>
  <si>
    <t>[UR] As a Local Editor, I want a quick overview of the variants in a particular Product Class which do not have test cases so as to ensure no variant in a PC is missed from testing.</t>
  </si>
  <si>
    <t>UR] As a Local Editor, I want a platform where I can receive changes related to a Function directly from commodity in order to reduce the time to update test cases when any solution is changed</t>
  </si>
  <si>
    <t>[TL] As a test engineer, I want to be able to in some way mark a testcode so it is not available to perform until another testcase is finished.(or task performed by test leader)</t>
  </si>
  <si>
    <t>[TL] As a test engineer, I want to be able to mark the testcases with different tags as back office, features, testcase version, navigation, raining, snow etc</t>
  </si>
  <si>
    <t>You are logged in as Test leader to the system</t>
  </si>
  <si>
    <t>Test case should be updated with the tags and tags should be visible for the test case</t>
  </si>
  <si>
    <t>Editing a test case you should have the possibility to add tags to the test case from a pre-defined list.</t>
  </si>
  <si>
    <t>[TL] As a test engineer, I want to be able to add picture or video to test case.</t>
  </si>
  <si>
    <t>Editing a test case you should have the possibility to add attachements to a test case</t>
  </si>
  <si>
    <t>The attachement should be added to the test case and it should be possible to click the attachement viewing the test case</t>
  </si>
  <si>
    <t>[TL] As a test engineer, I want that the testcases get a way to see status of it. new, ok, ok from function owner, old, generic, do not use etc. Has the test case been generated from experience of field test, is it a function owner who has added/edited the test case or is it a PVT experience that generated the test case? Is it a new test case or an old test case (version number).</t>
  </si>
  <si>
    <t>[TL] As a test engineer, I want to be able to create test sequences from product class and variants. It should be possible to sort from different tags or marks.</t>
  </si>
  <si>
    <t>Creating a test sequence you should be able to filter on product class and variants to find valid test cases for your test sequence. You should be able to select all or parts of the test cases and add to your sequence. Then you can save it.</t>
  </si>
  <si>
    <t>Test sequence should be saved with  the name you chose.</t>
  </si>
  <si>
    <t>As a test engineer, I want to be able to add test cases from other product classes, variants or development test cases.</t>
  </si>
  <si>
    <t>[TL] As a global responsible, I want that there always is a English testcase in the background for all testcases so you can check all tests done on it.</t>
  </si>
  <si>
    <t>You are logged in as global responsible</t>
  </si>
  <si>
    <t>Searching for test cases or clicking on a test case there should always be an english description and result text for it.</t>
  </si>
  <si>
    <t>You should be presented with English text.</t>
  </si>
  <si>
    <t>[TL] As a global responsible, I want to be able to see all variants of the testcase for all specs and product classes</t>
  </si>
  <si>
    <t>[CL] As a test engineer, i want to store my test sequences automatically in easy to find location within the tool.</t>
  </si>
  <si>
    <t>[AM] As a Master Editor, I want to get feedback right away when a change is made in variant filter. If product classes are included, if a variant exist in product class. "Extended syntax check"</t>
  </si>
  <si>
    <t>TJ] As a test engineer, I want to be able to easily add a temporary test case. It shall be easy to track.</t>
  </si>
  <si>
    <t>Tim Janson</t>
  </si>
  <si>
    <t>[UR] As a Test Engineer, I want to schedule the test case execution over the testing week based on availability of resources like loads, fuel and driver for night shift etc so as to avoid wasting time searching for test cases which can be executed for that day.</t>
  </si>
  <si>
    <t>Hv Usha Rani</t>
  </si>
  <si>
    <t>[VM] As a test engineer, I want to be able to easily filter the test case according to the vehicle specification, e.g according to vehicle, engine and/or gearbox Specification, to avoid having to read and mark a lot of test cases as not applicable.</t>
  </si>
  <si>
    <t>Victor Machay</t>
  </si>
  <si>
    <t>[VM] As a test engineer, I want to be able to easily find a link between Test Case and possible support person/expert for this test case to get help understanding a reported issue.</t>
  </si>
  <si>
    <t>[TJ] As a test engineer, I would like the Test Case to include information specific to the vehicle being tested. E.g. Max road speed, Max CC speed, CC resume speed, Engine idle shut down time etc., etc, so I don't have to look them up in Protus/Protom or in Kola.</t>
  </si>
  <si>
    <t>Tim Jansson</t>
  </si>
  <si>
    <t>[TL] As a test engineer, I want to be able to divide testcases in sequences with different tasks for test leaders and for drivers or other test roles.</t>
  </si>
  <si>
    <t>Thomas Larsson</t>
  </si>
  <si>
    <t>[TL] As a test engineer, I want to be able to trigg testcode on markers as geofence, ok for testcase, nok for testcode etc.</t>
  </si>
  <si>
    <t>[TL] As a test engineer, I want a system that send tasks to the relevant role (testleader, fleet admin, transport leader, driver etc. (To be able to test systems/functions that is dependent on input from other areas (Testleader, weather, cargo, load, driver status, etc.)</t>
  </si>
  <si>
    <t>[TL] As a test engineer, I want to be able to check previous written protuses (Fault reports) against the testcases that I or other test engineers have written.</t>
  </si>
  <si>
    <t>Prototype(Mockup) reference</t>
  </si>
  <si>
    <t>[TL] As a test engineer, I want to have the same application in the computer so the test leader can perform his test cases. It will also be possible for other to test. EE,OBT Buss etc.</t>
  </si>
  <si>
    <t>[TJ] As a tester, I want to be able to pause a test for a certain amount of time so it reappears in a while.</t>
  </si>
  <si>
    <t>[TJ] As a tester, I want to be able to receive test cases randomly.</t>
  </si>
  <si>
    <t>[VM] As a tester, I want to be able to easily perform the test by following steps and making sure each one was followed and concluded to certify the test case is executed as intended. Something similar to what we have today with Guided Diagnostics when using Techtool.</t>
  </si>
  <si>
    <t>[VM] As a tester, I want to see the preconditions to a test case to verify that the test case actually can be performed in the present conditions.</t>
  </si>
  <si>
    <t>[VM] As a tester, I want to be able easily find pictures related to the test case to be able to recognize specific components quickly. Like what we have today in some EE Check.</t>
  </si>
  <si>
    <t>[TJ] As a tester, I want to be able to decide what kind of test case I want to test at this specific time (trailer, stand-still etc.).</t>
  </si>
  <si>
    <t>You are logged in as Tester to the system</t>
  </si>
  <si>
    <t>[TJ] As a test engineer, I want to be able to easily generate a test status (progress, faults found on each TF) during the test. It shall be easy to present the output.</t>
  </si>
  <si>
    <t>[UR] As a Test Engineer, I want to see a tool where I can create a test dairy for a planned test and add items like test progress graph(including option to add reasons for test delay), TF status, faults reported, fuel sheet, shift comments and DTCs noticed so that the test status can be quickly created and shared as daily updates to project without having to spend much time on test dairy format.</t>
  </si>
  <si>
    <t>[VM] As a test engineer, I want to be able to easily get traceability of same test cases already done around the world, by choosing them easily through Product Class, Engine Type and easily finding related Protus to them to get help and knowledge from previous executions of the same test case under similar circumstances.</t>
  </si>
  <si>
    <t>[TL] As a test engineer, I want to be able to see if the testcodes are triggered by a fault code or other trigger.</t>
  </si>
  <si>
    <t>[TL] As a test engineer, I want to be able to have an easy way to export the results to appendix to ER or complete report? (Automatic report generator)</t>
  </si>
  <si>
    <t>[TL] As a test engineer, I want to be able to check logs on Bluetooth, Wi-Fi or other connection availability around the truck. (For test cases using this devices)</t>
  </si>
  <si>
    <t>[JE] As a global responsible I would like to see how one function is tested on all Group Trucks products independent of solution</t>
  </si>
  <si>
    <t>Jessica Erlandsson</t>
  </si>
  <si>
    <t>[JE] As a global responsible I would like to see results of a test case for all Product Classes in a certain time interval</t>
  </si>
  <si>
    <t>[JE] As global responsible I would like to get reports from PVT Testing in the same format independent of product class in order to give professional output with the same setup no matter site or product class.</t>
  </si>
  <si>
    <t>[TL] As a global responsible I would like to be able to check previously written protuses (Fault reports) against the testcases on all markets</t>
  </si>
  <si>
    <t>[UR/JE] As a test engineer I need to have daily control of the DTCs set during the test. The transfer of DTC lists should be as smooth as log file transfer and stored connected to the test and truck. I would like the fault frequency during the test to be compiled and possible to include in the ER. I would like explanations of the DTCs and the possibility to look into what a mechanic would do to correct the fault (currently Guided Diagnostics and Tech Tool). I would like the possiblity to write validation reports of different steps in the chain.</t>
  </si>
  <si>
    <t>[JE] As a global responsible I would like the possiblity to go back in history and check a test case that was used in a historical test (even if the test cases have been updated I need to see the sequence that was run and what functions that were connected)</t>
  </si>
  <si>
    <t>[CL] As a test engineer I need 64 caracters for Non Protus SW version, actually you can write only 32 caracters today. For example: W1606.1_16A0_E6_Sop1637_PVTCheck_FE-248.</t>
  </si>
  <si>
    <t>Cedric Lavabre</t>
  </si>
  <si>
    <t>[CL] As a test engineer I like the way E-Facts, have the possibility to put files as nonProtus. I use this for PVTCheck report or when there is uncertainty if i write a protus or not.</t>
  </si>
  <si>
    <t>[UR] As a Test Engineer, I want to have an option to log continuous GPS data for some special test cases like Speedometer and Odometer verification so that I can quickly compare the vehicle data with GPS data to estimate the calibration error.</t>
  </si>
  <si>
    <t>[UR] As a Test Engineer, I want to see the list of DTCs (both Active and Inactive) while listening to log files in eFACTS so that I don’t have to open each log file in CANalyzer and search for any DTCs.</t>
  </si>
  <si>
    <t>[UR/JE] As a Test Engineer, I want to be able to analyze a DTC and see what is written about it in SEWS, Guided Diagnostics and Tech Tool (tool available for the external mechanics). I want the description of the DTC to be automatically connected to the logfile and links to be presented for further investigation.</t>
  </si>
  <si>
    <t>[UR/JE] As a Test Engineer, I want to be able to use Impact as a tool for investigation and connect information from Impact to a fault that occured.</t>
  </si>
  <si>
    <t>[UR] As a Test Engineer, I want an option in eFACTS to quickly move to an CAN analysis software to analyze the CAN signals so that I don't have to mail the mea package to my ID and then download it to open the CAN log in CANalyzer</t>
  </si>
  <si>
    <t>[TL] As a test engineer, I want to be able to see who put ok/nok on testcase and when. (Time is important for telematics fault tracing).</t>
  </si>
  <si>
    <t>[TL] As a test engineer, I want to be able to see pictures or movies on faults and how it should work. If you get a telltail or pop up you should be able to check the trigging condition and right behavior for them</t>
  </si>
  <si>
    <t>Usha Rani</t>
  </si>
  <si>
    <t>Usha Rani, Jessica Erlandsson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</si>
</sst>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 _k_r_-;\-* #,##0.00\ _k_r_-;_-* &quot;-&quot;??\ _k_r_-;_-@_-"/>
    <numFmt numFmtId="164" formatCode="_-* #,##0\ _k_r_-;\-* #,##0\ _k_r_-;_-* &quot;-&quot;??\ _k_r_-;_-@_-"/>
  </numFmts>
  <fonts count="11" x14ac:knownFonts="1">
    <font>
      <sz val="10"/>
      <name val="Arial"/>
    </font>
    <font>
      <b/>
      <sz val="10"/>
      <name val="Arial"/>
      <family val="2"/>
    </font>
    <font>
      <sz val="10"/>
      <name val="Arial"/>
      <family val="2"/>
    </font>
    <font>
      <b/>
      <i/>
      <sz val="14"/>
      <name val="Times New Roman"/>
      <family val="1"/>
    </font>
    <font>
      <b/>
      <sz val="11"/>
      <color rgb="FFFA7D00"/>
      <name val="Calibri"/>
      <family val="2"/>
      <scheme val="minor"/>
    </font>
    <font>
      <sz val="10"/>
      <name val="Arial"/>
      <family val="2"/>
    </font>
    <font>
      <b/>
      <i/>
      <sz val="14"/>
      <color rgb="FFFA7D00"/>
      <name val="Times New Roman"/>
      <family val="1"/>
    </font>
    <font>
      <sz val="10"/>
      <name val="Arial"/>
      <family val="2"/>
    </font>
    <font>
      <b/>
      <sz val="12"/>
      <name val="Arial"/>
      <family val="2"/>
    </font>
    <font>
      <sz val="8"/>
      <name val="Arial"/>
      <family val="2"/>
    </font>
    <font>
      <b/>
      <sz val="8"/>
      <name val="Arial"/>
      <family val="2"/>
    </font>
  </fonts>
  <fills count="14">
    <fill>
      <patternFill patternType="none"/>
    </fill>
    <fill>
      <patternFill patternType="gray125"/>
    </fill>
    <fill>
      <patternFill patternType="solid">
        <fgColor indexed="63"/>
        <bgColor indexed="64"/>
      </patternFill>
    </fill>
    <fill>
      <patternFill patternType="gray0625">
        <fgColor indexed="9"/>
        <bgColor indexed="9"/>
      </patternFill>
    </fill>
    <fill>
      <patternFill patternType="solid">
        <fgColor rgb="FFF2F2F2"/>
      </patternFill>
    </fill>
    <fill>
      <patternFill patternType="solid">
        <fgColor theme="0"/>
        <bgColor indexed="64"/>
      </patternFill>
    </fill>
    <fill>
      <patternFill patternType="solid">
        <fgColor theme="1"/>
        <bgColor indexed="64"/>
      </patternFill>
    </fill>
    <fill>
      <patternFill patternType="solid">
        <fgColor theme="2"/>
        <bgColor indexed="64"/>
      </patternFill>
    </fill>
    <fill>
      <patternFill patternType="gray0625">
        <fgColor indexed="9"/>
        <bgColor theme="2"/>
      </patternFill>
    </fill>
    <fill>
      <patternFill patternType="solid">
        <fgColor theme="3" tint="0.39997558519241921"/>
        <bgColor indexed="9"/>
      </patternFill>
    </fill>
    <fill>
      <patternFill patternType="solid">
        <fgColor theme="3"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3" tint="0.39997558519241921"/>
        <bgColor indexed="65"/>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diagonal/>
    </border>
    <border>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style="thin">
        <color indexed="64"/>
      </left>
      <right style="thin">
        <color indexed="64"/>
      </right>
      <top/>
      <bottom style="thin">
        <color indexed="64"/>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thin">
        <color rgb="FF7F7F7F"/>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thin">
        <color indexed="64"/>
      </left>
      <right style="thin">
        <color indexed="64"/>
      </right>
      <top style="thin">
        <color indexed="64"/>
      </top>
      <bottom/>
      <diagonal/>
    </border>
    <border>
      <left/>
      <right style="thin">
        <color rgb="FF7F7F7F"/>
      </right>
      <top style="thin">
        <color rgb="FF7F7F7F"/>
      </top>
      <bottom/>
      <diagonal/>
    </border>
    <border>
      <left/>
      <right style="thin">
        <color rgb="FF7F7F7F"/>
      </right>
      <top/>
      <bottom style="thin">
        <color rgb="FF7F7F7F"/>
      </bottom>
      <diagonal/>
    </border>
    <border>
      <left style="thin">
        <color rgb="FF7F7F7F"/>
      </left>
      <right/>
      <top/>
      <bottom style="thin">
        <color rgb="FF7F7F7F"/>
      </bottom>
      <diagonal/>
    </border>
    <border>
      <left style="medium">
        <color indexed="64"/>
      </left>
      <right style="thin">
        <color indexed="64"/>
      </right>
      <top/>
      <bottom style="medium">
        <color indexed="64"/>
      </bottom>
      <diagonal/>
    </border>
    <border>
      <left/>
      <right style="thin">
        <color rgb="FF7F7F7F"/>
      </right>
      <top/>
      <bottom style="medium">
        <color indexed="64"/>
      </bottom>
      <diagonal/>
    </border>
    <border>
      <left style="thin">
        <color rgb="FF7F7F7F"/>
      </left>
      <right style="thin">
        <color rgb="FF7F7F7F"/>
      </right>
      <top/>
      <bottom style="medium">
        <color indexed="64"/>
      </bottom>
      <diagonal/>
    </border>
    <border>
      <left style="thin">
        <color rgb="FF7F7F7F"/>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rgb="FF7F7F7F"/>
      </right>
      <top style="medium">
        <color indexed="64"/>
      </top>
      <bottom style="thin">
        <color rgb="FF7F7F7F"/>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rgb="FF7F7F7F"/>
      </right>
      <top style="thin">
        <color rgb="FF7F7F7F"/>
      </top>
      <bottom style="medium">
        <color indexed="64"/>
      </bottom>
      <diagonal/>
    </border>
  </borders>
  <cellStyleXfs count="4">
    <xf numFmtId="0" fontId="0" fillId="0" borderId="0"/>
    <xf numFmtId="0" fontId="4" fillId="4" borderId="3" applyNumberFormat="0" applyAlignment="0" applyProtection="0"/>
    <xf numFmtId="9" fontId="5" fillId="0" borderId="0" applyFont="0" applyFill="0" applyBorder="0" applyAlignment="0" applyProtection="0"/>
    <xf numFmtId="43" fontId="7" fillId="0" borderId="0" applyFont="0" applyFill="0" applyBorder="0" applyAlignment="0" applyProtection="0"/>
  </cellStyleXfs>
  <cellXfs count="149">
    <xf numFmtId="0" fontId="0" fillId="0" borderId="0" xfId="0"/>
    <xf numFmtId="0" fontId="1" fillId="0" borderId="0" xfId="0" applyFont="1"/>
    <xf numFmtId="0" fontId="2" fillId="0" borderId="0" xfId="0" applyFont="1"/>
    <xf numFmtId="0" fontId="3" fillId="0" borderId="1" xfId="0" applyFont="1" applyBorder="1" applyAlignment="1">
      <alignment vertical="top" wrapText="1"/>
    </xf>
    <xf numFmtId="0" fontId="6" fillId="4" borderId="3" xfId="1" applyFont="1" applyAlignment="1">
      <alignment vertical="top" wrapText="1"/>
    </xf>
    <xf numFmtId="164" fontId="4" fillId="4" borderId="3" xfId="3" applyNumberFormat="1" applyFont="1" applyFill="1" applyBorder="1" applyAlignment="1">
      <alignment horizontal="center" wrapText="1"/>
    </xf>
    <xf numFmtId="0" fontId="2" fillId="0" borderId="0" xfId="0" applyFont="1" applyAlignment="1">
      <alignment wrapText="1"/>
    </xf>
    <xf numFmtId="0" fontId="3" fillId="7" borderId="1" xfId="0" applyFont="1" applyFill="1" applyBorder="1" applyAlignment="1">
      <alignment vertical="top" wrapText="1"/>
    </xf>
    <xf numFmtId="0" fontId="1" fillId="7" borderId="0" xfId="0" applyFont="1" applyFill="1"/>
    <xf numFmtId="0" fontId="0" fillId="7" borderId="0" xfId="0" applyFill="1"/>
    <xf numFmtId="0" fontId="2" fillId="0" borderId="1" xfId="0" applyFont="1" applyBorder="1" applyAlignment="1">
      <alignment wrapText="1"/>
    </xf>
    <xf numFmtId="0" fontId="0" fillId="0" borderId="0" xfId="0" applyAlignment="1">
      <alignment horizontal="right"/>
    </xf>
    <xf numFmtId="164" fontId="0" fillId="0" borderId="0" xfId="0" applyNumberFormat="1" applyAlignment="1">
      <alignment horizontal="right"/>
    </xf>
    <xf numFmtId="0" fontId="2" fillId="0" borderId="0" xfId="0" applyFont="1" applyAlignment="1"/>
    <xf numFmtId="0" fontId="2" fillId="0" borderId="0" xfId="0" applyFont="1" applyAlignment="1">
      <alignment horizontal="center"/>
    </xf>
    <xf numFmtId="0" fontId="9" fillId="0" borderId="0" xfId="0" applyFont="1" applyAlignment="1">
      <alignment wrapText="1"/>
    </xf>
    <xf numFmtId="0" fontId="10" fillId="0" borderId="0" xfId="0" applyFont="1" applyAlignment="1">
      <alignment wrapText="1"/>
    </xf>
    <xf numFmtId="0" fontId="1" fillId="0" borderId="0" xfId="0" applyFont="1" applyAlignment="1"/>
    <xf numFmtId="0" fontId="9" fillId="2" borderId="1" xfId="0" applyFont="1" applyFill="1" applyBorder="1" applyAlignment="1">
      <alignment wrapText="1"/>
    </xf>
    <xf numFmtId="0" fontId="9" fillId="0" borderId="0" xfId="0" applyFont="1" applyAlignment="1"/>
    <xf numFmtId="0" fontId="9" fillId="5" borderId="1" xfId="0" applyFont="1" applyFill="1" applyBorder="1" applyAlignment="1"/>
    <xf numFmtId="0" fontId="9" fillId="0" borderId="1" xfId="0" applyFont="1" applyBorder="1" applyAlignment="1"/>
    <xf numFmtId="0" fontId="9" fillId="0" borderId="1" xfId="0" applyFont="1" applyBorder="1" applyAlignment="1">
      <alignment wrapText="1"/>
    </xf>
    <xf numFmtId="0" fontId="9" fillId="5" borderId="1" xfId="0" applyFont="1" applyFill="1" applyBorder="1" applyAlignment="1">
      <alignment wrapText="1"/>
    </xf>
    <xf numFmtId="0" fontId="9" fillId="0" borderId="2" xfId="0" applyFont="1" applyBorder="1" applyAlignment="1">
      <alignment wrapText="1"/>
    </xf>
    <xf numFmtId="0" fontId="9" fillId="0" borderId="0" xfId="0" applyFont="1" applyAlignment="1">
      <alignment horizontal="center"/>
    </xf>
    <xf numFmtId="0" fontId="9" fillId="2" borderId="0" xfId="0" applyFont="1" applyFill="1" applyAlignment="1">
      <alignment wrapText="1"/>
    </xf>
    <xf numFmtId="0" fontId="9" fillId="5" borderId="1" xfId="0" applyFont="1" applyFill="1" applyBorder="1" applyAlignment="1">
      <alignment horizontal="center" wrapText="1"/>
    </xf>
    <xf numFmtId="0" fontId="9" fillId="0" borderId="1" xfId="0" applyFont="1" applyBorder="1" applyAlignment="1">
      <alignment horizontal="center" wrapText="1"/>
    </xf>
    <xf numFmtId="0" fontId="9" fillId="0" borderId="0" xfId="0" applyFont="1" applyAlignment="1">
      <alignment horizontal="center" wrapText="1"/>
    </xf>
    <xf numFmtId="0" fontId="9" fillId="3" borderId="1" xfId="0" applyFont="1" applyFill="1" applyBorder="1" applyAlignment="1">
      <alignment wrapText="1"/>
    </xf>
    <xf numFmtId="0" fontId="9" fillId="6" borderId="1" xfId="0" applyFont="1" applyFill="1" applyBorder="1" applyAlignment="1">
      <alignment wrapText="1"/>
    </xf>
    <xf numFmtId="0" fontId="10" fillId="9" borderId="1" xfId="0" applyFont="1" applyFill="1" applyBorder="1" applyAlignment="1">
      <alignment wrapText="1"/>
    </xf>
    <xf numFmtId="0" fontId="10" fillId="9" borderId="1" xfId="0" applyFont="1" applyFill="1" applyBorder="1" applyAlignment="1">
      <alignment horizontal="center" wrapText="1"/>
    </xf>
    <xf numFmtId="0" fontId="10" fillId="10" borderId="1" xfId="0" applyFont="1" applyFill="1" applyBorder="1" applyAlignment="1">
      <alignment wrapText="1"/>
    </xf>
    <xf numFmtId="0" fontId="10" fillId="10" borderId="0" xfId="0" applyFont="1" applyFill="1" applyAlignment="1"/>
    <xf numFmtId="0" fontId="9" fillId="12" borderId="3" xfId="1" applyFont="1" applyFill="1" applyAlignment="1">
      <alignment horizontal="center" wrapText="1"/>
    </xf>
    <xf numFmtId="0" fontId="9" fillId="12" borderId="3" xfId="1" applyFont="1" applyFill="1" applyAlignment="1">
      <alignment wrapText="1"/>
    </xf>
    <xf numFmtId="0" fontId="9" fillId="11" borderId="3" xfId="1" applyFont="1" applyFill="1" applyAlignment="1">
      <alignment wrapText="1"/>
    </xf>
    <xf numFmtId="1" fontId="9" fillId="11" borderId="3" xfId="1" applyNumberFormat="1" applyFont="1" applyFill="1" applyAlignment="1">
      <alignment wrapText="1"/>
    </xf>
    <xf numFmtId="0" fontId="10" fillId="13" borderId="1" xfId="1" applyFont="1" applyFill="1" applyBorder="1" applyAlignment="1">
      <alignment wrapText="1"/>
    </xf>
    <xf numFmtId="0" fontId="10" fillId="10" borderId="1" xfId="0" applyFont="1" applyFill="1" applyBorder="1" applyAlignment="1">
      <alignment horizontal="center" wrapText="1"/>
    </xf>
    <xf numFmtId="9" fontId="9" fillId="12" borderId="3" xfId="2" applyFont="1" applyFill="1" applyBorder="1" applyAlignment="1">
      <alignment wrapText="1"/>
    </xf>
    <xf numFmtId="0" fontId="9" fillId="12" borderId="5" xfId="1" applyFont="1" applyFill="1" applyBorder="1" applyAlignment="1">
      <alignment wrapText="1"/>
    </xf>
    <xf numFmtId="0" fontId="10" fillId="7" borderId="1" xfId="0" applyFont="1" applyFill="1" applyBorder="1" applyAlignment="1">
      <alignment wrapText="1"/>
    </xf>
    <xf numFmtId="0" fontId="10" fillId="7" borderId="1" xfId="0" applyFont="1" applyFill="1" applyBorder="1" applyAlignment="1">
      <alignment horizontal="center" wrapText="1"/>
    </xf>
    <xf numFmtId="0" fontId="9" fillId="7" borderId="1" xfId="0" applyFont="1" applyFill="1" applyBorder="1" applyAlignment="1">
      <alignment wrapText="1"/>
    </xf>
    <xf numFmtId="9" fontId="9" fillId="7" borderId="1" xfId="2" applyFont="1" applyFill="1" applyBorder="1" applyAlignment="1">
      <alignment wrapText="1"/>
    </xf>
    <xf numFmtId="0" fontId="9" fillId="7" borderId="1" xfId="0" applyFont="1" applyFill="1" applyBorder="1" applyAlignment="1">
      <alignment horizontal="center" wrapText="1"/>
    </xf>
    <xf numFmtId="9" fontId="10" fillId="7" borderId="1" xfId="2" applyFont="1" applyFill="1" applyBorder="1" applyAlignment="1">
      <alignment wrapText="1"/>
    </xf>
    <xf numFmtId="0" fontId="2" fillId="3" borderId="1" xfId="0" applyFont="1" applyFill="1" applyBorder="1" applyAlignment="1">
      <alignment wrapText="1"/>
    </xf>
    <xf numFmtId="0" fontId="2" fillId="8" borderId="1" xfId="0" applyFont="1" applyFill="1" applyBorder="1" applyAlignment="1">
      <alignment wrapText="1"/>
    </xf>
    <xf numFmtId="0" fontId="2" fillId="4" borderId="3" xfId="1" applyFont="1" applyAlignment="1">
      <alignment wrapText="1"/>
    </xf>
    <xf numFmtId="0" fontId="2" fillId="12" borderId="3" xfId="1" applyFont="1" applyFill="1" applyAlignment="1">
      <alignment wrapText="1"/>
    </xf>
    <xf numFmtId="0" fontId="1" fillId="9" borderId="1" xfId="0" applyFont="1" applyFill="1" applyBorder="1" applyAlignment="1">
      <alignment wrapText="1"/>
    </xf>
    <xf numFmtId="0" fontId="1" fillId="10" borderId="1" xfId="0" applyFont="1" applyFill="1" applyBorder="1" applyAlignment="1">
      <alignment horizontal="center" wrapText="1"/>
    </xf>
    <xf numFmtId="0" fontId="1" fillId="9" borderId="1" xfId="0" applyFont="1" applyFill="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wrapText="1"/>
    </xf>
    <xf numFmtId="0" fontId="2" fillId="12" borderId="9" xfId="0" applyFont="1" applyFill="1" applyBorder="1" applyAlignment="1">
      <alignment horizontal="center"/>
    </xf>
    <xf numFmtId="0" fontId="2" fillId="12" borderId="8" xfId="1" applyFont="1" applyFill="1" applyBorder="1" applyAlignment="1">
      <alignment wrapText="1"/>
    </xf>
    <xf numFmtId="0" fontId="2" fillId="0" borderId="9" xfId="0" applyFont="1" applyBorder="1" applyAlignment="1">
      <alignment wrapText="1"/>
    </xf>
    <xf numFmtId="0" fontId="2" fillId="3" borderId="9" xfId="0" applyFont="1" applyFill="1" applyBorder="1" applyAlignment="1">
      <alignment wrapText="1"/>
    </xf>
    <xf numFmtId="0" fontId="2" fillId="0" borderId="9" xfId="0" applyFont="1" applyBorder="1" applyAlignment="1">
      <alignment horizontal="center" wrapText="1"/>
    </xf>
    <xf numFmtId="164" fontId="2" fillId="12" borderId="1" xfId="3" applyNumberFormat="1" applyFont="1" applyFill="1" applyBorder="1" applyAlignment="1">
      <alignment horizontal="center"/>
    </xf>
    <xf numFmtId="164" fontId="2" fillId="12" borderId="9" xfId="3" applyNumberFormat="1" applyFont="1" applyFill="1" applyBorder="1" applyAlignment="1">
      <alignment horizontal="center"/>
    </xf>
    <xf numFmtId="164" fontId="2" fillId="7" borderId="1" xfId="3" applyNumberFormat="1" applyFont="1" applyFill="1" applyBorder="1" applyAlignment="1">
      <alignment horizontal="center"/>
    </xf>
    <xf numFmtId="164" fontId="2" fillId="0" borderId="1" xfId="3" applyNumberFormat="1" applyFont="1" applyBorder="1" applyAlignment="1">
      <alignment horizontal="center"/>
    </xf>
    <xf numFmtId="1" fontId="2" fillId="12" borderId="8" xfId="1" applyNumberFormat="1" applyFont="1" applyFill="1" applyBorder="1" applyAlignment="1">
      <alignment horizontal="center" wrapText="1"/>
    </xf>
    <xf numFmtId="1" fontId="2" fillId="0" borderId="9" xfId="0" applyNumberFormat="1" applyFont="1" applyBorder="1" applyAlignment="1">
      <alignment horizontal="center" wrapText="1"/>
    </xf>
    <xf numFmtId="1" fontId="2" fillId="0" borderId="1" xfId="3" applyNumberFormat="1" applyFont="1" applyBorder="1" applyAlignment="1">
      <alignment horizontal="center" wrapText="1"/>
    </xf>
    <xf numFmtId="1" fontId="2" fillId="12" borderId="3" xfId="3" applyNumberFormat="1" applyFont="1" applyFill="1" applyBorder="1" applyAlignment="1">
      <alignment horizontal="center" wrapText="1"/>
    </xf>
    <xf numFmtId="1" fontId="2" fillId="4" borderId="3" xfId="3" applyNumberFormat="1" applyFont="1" applyFill="1" applyBorder="1" applyAlignment="1">
      <alignment horizontal="center" wrapText="1"/>
    </xf>
    <xf numFmtId="1" fontId="2" fillId="7" borderId="1" xfId="3" applyNumberFormat="1" applyFont="1" applyFill="1" applyBorder="1" applyAlignment="1">
      <alignment horizontal="center"/>
    </xf>
    <xf numFmtId="1" fontId="2" fillId="12" borderId="9" xfId="1" applyNumberFormat="1" applyFont="1" applyFill="1" applyBorder="1" applyAlignment="1">
      <alignment horizontal="center"/>
    </xf>
    <xf numFmtId="1" fontId="2" fillId="12" borderId="1" xfId="3" applyNumberFormat="1" applyFont="1" applyFill="1" applyBorder="1" applyAlignment="1">
      <alignment horizontal="center"/>
    </xf>
    <xf numFmtId="1" fontId="2" fillId="12" borderId="8" xfId="3" applyNumberFormat="1" applyFont="1" applyFill="1" applyBorder="1" applyAlignment="1">
      <alignment horizontal="center"/>
    </xf>
    <xf numFmtId="1" fontId="2" fillId="12" borderId="3" xfId="3" applyNumberFormat="1" applyFont="1" applyFill="1" applyBorder="1" applyAlignment="1">
      <alignment horizontal="center"/>
    </xf>
    <xf numFmtId="1" fontId="2" fillId="12" borderId="7" xfId="3" applyNumberFormat="1" applyFont="1" applyFill="1" applyBorder="1" applyAlignment="1">
      <alignment horizontal="center"/>
    </xf>
    <xf numFmtId="1" fontId="2" fillId="4" borderId="6" xfId="3" applyNumberFormat="1" applyFont="1" applyFill="1" applyBorder="1" applyAlignment="1">
      <alignment horizontal="center"/>
    </xf>
    <xf numFmtId="1" fontId="6" fillId="4" borderId="3" xfId="1" applyNumberFormat="1" applyFont="1" applyAlignment="1">
      <alignment vertical="top" wrapText="1"/>
    </xf>
    <xf numFmtId="1" fontId="0" fillId="0" borderId="0" xfId="0" applyNumberFormat="1"/>
    <xf numFmtId="0" fontId="9" fillId="12" borderId="3" xfId="1" applyFont="1" applyFill="1" applyAlignment="1">
      <alignment horizontal="right" wrapText="1"/>
    </xf>
    <xf numFmtId="9" fontId="9" fillId="0" borderId="1" xfId="0" applyNumberFormat="1" applyFont="1" applyBorder="1" applyAlignment="1">
      <alignment horizontal="center" wrapText="1"/>
    </xf>
    <xf numFmtId="0" fontId="10" fillId="13" borderId="1" xfId="1" applyFont="1" applyFill="1" applyBorder="1" applyAlignment="1">
      <alignment horizontal="center" wrapText="1"/>
    </xf>
    <xf numFmtId="164" fontId="9" fillId="0" borderId="0" xfId="3" applyNumberFormat="1" applyFont="1" applyAlignment="1"/>
    <xf numFmtId="164" fontId="9" fillId="11" borderId="5" xfId="3" applyNumberFormat="1" applyFont="1" applyFill="1" applyBorder="1" applyAlignment="1">
      <alignment wrapText="1"/>
    </xf>
    <xf numFmtId="164" fontId="9" fillId="11" borderId="3" xfId="3" applyNumberFormat="1" applyFont="1" applyFill="1" applyBorder="1" applyAlignment="1">
      <alignment wrapText="1"/>
    </xf>
    <xf numFmtId="164" fontId="9" fillId="0" borderId="0" xfId="3" applyNumberFormat="1" applyFont="1" applyAlignment="1">
      <alignment horizontal="center"/>
    </xf>
    <xf numFmtId="164" fontId="9" fillId="12" borderId="3" xfId="3" applyNumberFormat="1" applyFont="1" applyFill="1" applyBorder="1" applyAlignment="1">
      <alignment wrapText="1"/>
    </xf>
    <xf numFmtId="164" fontId="9" fillId="12" borderId="5" xfId="1" applyNumberFormat="1" applyFont="1" applyFill="1" applyBorder="1" applyAlignment="1">
      <alignment horizontal="center" wrapText="1"/>
    </xf>
    <xf numFmtId="0" fontId="9" fillId="12" borderId="7" xfId="1" applyFont="1" applyFill="1" applyBorder="1" applyAlignment="1">
      <alignment horizontal="center" wrapText="1"/>
    </xf>
    <xf numFmtId="9" fontId="9" fillId="12" borderId="7" xfId="2" applyFont="1" applyFill="1" applyBorder="1" applyAlignment="1">
      <alignment wrapText="1"/>
    </xf>
    <xf numFmtId="0" fontId="9" fillId="12" borderId="8" xfId="1" applyFont="1" applyFill="1" applyBorder="1" applyAlignment="1">
      <alignment horizontal="center" wrapText="1"/>
    </xf>
    <xf numFmtId="164" fontId="9" fillId="12" borderId="8" xfId="3" applyNumberFormat="1" applyFont="1" applyFill="1" applyBorder="1" applyAlignment="1">
      <alignment wrapText="1"/>
    </xf>
    <xf numFmtId="9" fontId="9" fillId="12" borderId="8" xfId="2" applyFont="1" applyFill="1" applyBorder="1" applyAlignment="1">
      <alignment wrapText="1"/>
    </xf>
    <xf numFmtId="0" fontId="9" fillId="12" borderId="10" xfId="1" applyFont="1" applyFill="1" applyBorder="1" applyAlignment="1">
      <alignment horizontal="center" wrapText="1"/>
    </xf>
    <xf numFmtId="164" fontId="9" fillId="12" borderId="10" xfId="3" applyNumberFormat="1" applyFont="1" applyFill="1" applyBorder="1" applyAlignment="1">
      <alignment wrapText="1"/>
    </xf>
    <xf numFmtId="9" fontId="9" fillId="12" borderId="11" xfId="2" applyFont="1" applyFill="1" applyBorder="1" applyAlignment="1">
      <alignment wrapText="1"/>
    </xf>
    <xf numFmtId="0" fontId="9" fillId="12" borderId="3" xfId="1" applyFont="1" applyFill="1" applyBorder="1" applyAlignment="1">
      <alignment horizontal="center" wrapText="1"/>
    </xf>
    <xf numFmtId="9" fontId="9" fillId="12" borderId="12" xfId="2" applyFont="1" applyFill="1" applyBorder="1" applyAlignment="1">
      <alignment wrapText="1"/>
    </xf>
    <xf numFmtId="164" fontId="9" fillId="12" borderId="13" xfId="3" applyNumberFormat="1" applyFont="1" applyFill="1" applyBorder="1" applyAlignment="1">
      <alignment wrapText="1"/>
    </xf>
    <xf numFmtId="9" fontId="9" fillId="12" borderId="14" xfId="2" applyFont="1" applyFill="1" applyBorder="1" applyAlignment="1">
      <alignment wrapText="1"/>
    </xf>
    <xf numFmtId="9" fontId="9" fillId="12" borderId="5" xfId="2" applyFont="1" applyFill="1" applyBorder="1" applyAlignment="1">
      <alignment wrapText="1"/>
    </xf>
    <xf numFmtId="9" fontId="9" fillId="0" borderId="15" xfId="0" applyNumberFormat="1" applyFont="1" applyBorder="1" applyAlignment="1">
      <alignment horizontal="center" wrapText="1"/>
    </xf>
    <xf numFmtId="164" fontId="9" fillId="11" borderId="16" xfId="3" applyNumberFormat="1" applyFont="1" applyFill="1" applyBorder="1" applyAlignment="1">
      <alignment wrapText="1"/>
    </xf>
    <xf numFmtId="164" fontId="9" fillId="11" borderId="7" xfId="3" applyNumberFormat="1" applyFont="1" applyFill="1" applyBorder="1" applyAlignment="1">
      <alignment wrapText="1"/>
    </xf>
    <xf numFmtId="9" fontId="9" fillId="0" borderId="9" xfId="0" applyNumberFormat="1" applyFont="1" applyBorder="1" applyAlignment="1">
      <alignment horizontal="center" wrapText="1"/>
    </xf>
    <xf numFmtId="164" fontId="9" fillId="11" borderId="17" xfId="3" applyNumberFormat="1" applyFont="1" applyFill="1" applyBorder="1" applyAlignment="1">
      <alignment wrapText="1"/>
    </xf>
    <xf numFmtId="164" fontId="9" fillId="11" borderId="8" xfId="3" applyNumberFormat="1" applyFont="1" applyFill="1" applyBorder="1" applyAlignment="1">
      <alignment wrapText="1"/>
    </xf>
    <xf numFmtId="0" fontId="9" fillId="3" borderId="15" xfId="0" applyFont="1" applyFill="1" applyBorder="1" applyAlignment="1">
      <alignment wrapText="1"/>
    </xf>
    <xf numFmtId="0" fontId="9" fillId="0" borderId="15" xfId="0" applyFont="1" applyBorder="1" applyAlignment="1">
      <alignment wrapText="1"/>
    </xf>
    <xf numFmtId="0" fontId="10" fillId="13" borderId="9" xfId="1" applyFont="1" applyFill="1" applyBorder="1" applyAlignment="1">
      <alignment wrapText="1"/>
    </xf>
    <xf numFmtId="0" fontId="9" fillId="12" borderId="8" xfId="1" applyFont="1" applyFill="1" applyBorder="1" applyAlignment="1">
      <alignment horizontal="right" wrapText="1"/>
    </xf>
    <xf numFmtId="0" fontId="9" fillId="12" borderId="18" xfId="1" applyFont="1" applyFill="1" applyBorder="1" applyAlignment="1">
      <alignment horizontal="right" wrapText="1"/>
    </xf>
    <xf numFmtId="0" fontId="10" fillId="13" borderId="19" xfId="1" applyFont="1" applyFill="1" applyBorder="1" applyAlignment="1">
      <alignment horizontal="center" wrapText="1"/>
    </xf>
    <xf numFmtId="164" fontId="9" fillId="11" borderId="20" xfId="3" applyNumberFormat="1" applyFont="1" applyFill="1" applyBorder="1" applyAlignment="1">
      <alignment wrapText="1"/>
    </xf>
    <xf numFmtId="164" fontId="9" fillId="11" borderId="21" xfId="3" applyNumberFormat="1" applyFont="1" applyFill="1" applyBorder="1" applyAlignment="1">
      <alignment wrapText="1"/>
    </xf>
    <xf numFmtId="0" fontId="10" fillId="12" borderId="21" xfId="1" applyFont="1" applyFill="1" applyBorder="1" applyAlignment="1">
      <alignment horizontal="center" wrapText="1"/>
    </xf>
    <xf numFmtId="164" fontId="9" fillId="12" borderId="21" xfId="3" applyNumberFormat="1" applyFont="1" applyFill="1" applyBorder="1" applyAlignment="1">
      <alignment wrapText="1"/>
    </xf>
    <xf numFmtId="9" fontId="9" fillId="12" borderId="22" xfId="2" applyFont="1" applyFill="1" applyBorder="1" applyAlignment="1">
      <alignment wrapText="1"/>
    </xf>
    <xf numFmtId="0" fontId="10" fillId="13" borderId="23" xfId="1" applyFont="1" applyFill="1" applyBorder="1" applyAlignment="1">
      <alignment wrapText="1"/>
    </xf>
    <xf numFmtId="0" fontId="9" fillId="12" borderId="10" xfId="1" applyFont="1" applyFill="1" applyBorder="1" applyAlignment="1">
      <alignment horizontal="right" wrapText="1"/>
    </xf>
    <xf numFmtId="9" fontId="9" fillId="0" borderId="24" xfId="0" applyNumberFormat="1" applyFont="1" applyBorder="1" applyAlignment="1">
      <alignment horizontal="center" wrapText="1"/>
    </xf>
    <xf numFmtId="164" fontId="9" fillId="11" borderId="25" xfId="3" applyNumberFormat="1" applyFont="1" applyFill="1" applyBorder="1" applyAlignment="1">
      <alignment wrapText="1"/>
    </xf>
    <xf numFmtId="164" fontId="9" fillId="11" borderId="10" xfId="3" applyNumberFormat="1" applyFont="1" applyFill="1" applyBorder="1" applyAlignment="1">
      <alignment wrapText="1"/>
    </xf>
    <xf numFmtId="0" fontId="10" fillId="13" borderId="26" xfId="1" applyFont="1" applyFill="1" applyBorder="1" applyAlignment="1">
      <alignment wrapText="1"/>
    </xf>
    <xf numFmtId="0" fontId="9" fillId="12" borderId="3" xfId="1" applyFont="1" applyFill="1" applyBorder="1" applyAlignment="1">
      <alignment horizontal="right" wrapText="1"/>
    </xf>
    <xf numFmtId="0" fontId="10" fillId="13" borderId="27" xfId="1" applyFont="1" applyFill="1" applyBorder="1" applyAlignment="1">
      <alignment wrapText="1"/>
    </xf>
    <xf numFmtId="0" fontId="9" fillId="12" borderId="13" xfId="1" applyFont="1" applyFill="1" applyBorder="1" applyAlignment="1">
      <alignment horizontal="right" wrapText="1"/>
    </xf>
    <xf numFmtId="9" fontId="9" fillId="0" borderId="28" xfId="0" applyNumberFormat="1" applyFont="1" applyBorder="1" applyAlignment="1">
      <alignment horizontal="center" wrapText="1"/>
    </xf>
    <xf numFmtId="164" fontId="9" fillId="11" borderId="29" xfId="3" applyNumberFormat="1" applyFont="1" applyFill="1" applyBorder="1" applyAlignment="1">
      <alignment wrapText="1"/>
    </xf>
    <xf numFmtId="164" fontId="9" fillId="11" borderId="13" xfId="3" applyNumberFormat="1" applyFont="1" applyFill="1" applyBorder="1" applyAlignment="1">
      <alignment wrapText="1"/>
    </xf>
    <xf numFmtId="0" fontId="9" fillId="12" borderId="13" xfId="1" applyFont="1" applyFill="1" applyBorder="1" applyAlignment="1">
      <alignment horizontal="center" wrapText="1"/>
    </xf>
    <xf numFmtId="0" fontId="8" fillId="0" borderId="0" xfId="0" applyFont="1" applyAlignment="1"/>
    <xf numFmtId="9" fontId="9" fillId="7" borderId="1" xfId="0" applyNumberFormat="1" applyFont="1" applyFill="1" applyBorder="1" applyAlignment="1">
      <alignment horizontal="center" wrapText="1"/>
    </xf>
    <xf numFmtId="1" fontId="2" fillId="7" borderId="1" xfId="0" applyNumberFormat="1" applyFont="1" applyFill="1" applyBorder="1"/>
    <xf numFmtId="0" fontId="1" fillId="7" borderId="0" xfId="0" applyFont="1" applyFill="1" applyAlignment="1">
      <alignment horizontal="center"/>
    </xf>
    <xf numFmtId="0" fontId="0" fillId="0" borderId="0" xfId="0" applyAlignment="1">
      <alignment horizontal="center"/>
    </xf>
    <xf numFmtId="1" fontId="1" fillId="7" borderId="1" xfId="0" applyNumberFormat="1" applyFont="1" applyFill="1" applyBorder="1"/>
    <xf numFmtId="0" fontId="9" fillId="5" borderId="0" xfId="0" applyFont="1" applyFill="1" applyBorder="1" applyAlignment="1"/>
    <xf numFmtId="0" fontId="9" fillId="0" borderId="0" xfId="0" applyFont="1" applyBorder="1" applyAlignment="1">
      <alignment wrapText="1"/>
    </xf>
    <xf numFmtId="0" fontId="10" fillId="10" borderId="4" xfId="0" applyFont="1" applyFill="1" applyBorder="1" applyAlignment="1">
      <alignment horizontal="left" wrapText="1"/>
    </xf>
    <xf numFmtId="164" fontId="10" fillId="10" borderId="1" xfId="3" applyNumberFormat="1" applyFont="1" applyFill="1" applyBorder="1" applyAlignment="1">
      <alignment horizontal="left" wrapText="1"/>
    </xf>
    <xf numFmtId="0" fontId="10" fillId="10" borderId="1" xfId="0" applyFont="1" applyFill="1" applyBorder="1" applyAlignment="1">
      <alignment horizontal="left" wrapText="1"/>
    </xf>
    <xf numFmtId="164" fontId="10" fillId="10" borderId="2" xfId="3" applyNumberFormat="1" applyFont="1" applyFill="1" applyBorder="1" applyAlignment="1">
      <alignment horizontal="left" wrapText="1"/>
    </xf>
    <xf numFmtId="0" fontId="10" fillId="9" borderId="1" xfId="0" applyFont="1" applyFill="1" applyBorder="1" applyAlignment="1">
      <alignment horizontal="left" wrapText="1"/>
    </xf>
    <xf numFmtId="0" fontId="8" fillId="0" borderId="0" xfId="0" applyFont="1" applyAlignment="1">
      <alignment horizontal="center"/>
    </xf>
    <xf numFmtId="0" fontId="1" fillId="0" borderId="0" xfId="0" applyFont="1" applyAlignment="1">
      <alignment horizontal="center"/>
    </xf>
  </cellXfs>
  <cellStyles count="4">
    <cellStyle name="Calculation" xfId="1" builtinId="22"/>
    <cellStyle name="Comma" xfId="3" builtinId="3"/>
    <cellStyle name="Normal" xfId="0" builtinId="0"/>
    <cellStyle name="Percent" xfId="2" builtinId="5"/>
  </cellStyles>
  <dxfs count="3">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Sprint</a:t>
            </a:r>
            <a:r>
              <a:rPr lang="en-US" sz="1600" baseline="0"/>
              <a:t> planning</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Chart'!$B$2:$B$6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09749760"/>
        <c:axId val="109751296"/>
      </c:barChart>
      <c:lineChart>
        <c:grouping val="standard"/>
        <c:varyColors val="0"/>
        <c:ser>
          <c:idx val="2"/>
          <c:order val="1"/>
          <c:tx>
            <c:strRef>
              <c:f>'Velocity Chart'!$C$1</c:f>
              <c:strCache>
                <c:ptCount val="1"/>
                <c:pt idx="0">
                  <c:v>Average</c:v>
                </c:pt>
              </c:strCache>
            </c:strRef>
          </c:tx>
          <c:marker>
            <c:symbol val="none"/>
          </c:marker>
          <c:val>
            <c:numRef>
              <c:f>'Velocity Chart'!$C$2:$C$6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Chart'!$D$2:$D$6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Chart'!$E$2:$E$6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09749760"/>
        <c:axId val="109751296"/>
      </c:lineChart>
      <c:catAx>
        <c:axId val="109749760"/>
        <c:scaling>
          <c:orientation val="minMax"/>
        </c:scaling>
        <c:delete val="0"/>
        <c:axPos val="b"/>
        <c:majorTickMark val="out"/>
        <c:minorTickMark val="none"/>
        <c:tickLblPos val="nextTo"/>
        <c:crossAx val="109751296"/>
        <c:crosses val="autoZero"/>
        <c:auto val="1"/>
        <c:lblAlgn val="ctr"/>
        <c:lblOffset val="100"/>
        <c:noMultiLvlLbl val="0"/>
      </c:catAx>
      <c:valAx>
        <c:axId val="109751296"/>
        <c:scaling>
          <c:orientation val="minMax"/>
        </c:scaling>
        <c:delete val="0"/>
        <c:axPos val="l"/>
        <c:majorGridlines/>
        <c:numFmt formatCode="_-* #,##0\ _k_r_-;\-* #,##0\ _k_r_-;_-* &quot;-&quot;??\ _k_r_-;_-@_-" sourceLinked="1"/>
        <c:majorTickMark val="out"/>
        <c:minorTickMark val="none"/>
        <c:tickLblPos val="nextTo"/>
        <c:crossAx val="1097497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Original </a:t>
            </a:r>
            <a:r>
              <a:rPr lang="en-US" sz="1600" baseline="0"/>
              <a:t>Estimates</a:t>
            </a:r>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Chart'!$B$21:$B$25</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11830912"/>
        <c:axId val="111832448"/>
      </c:barChart>
      <c:lineChart>
        <c:grouping val="standard"/>
        <c:varyColors val="0"/>
        <c:ser>
          <c:idx val="2"/>
          <c:order val="1"/>
          <c:tx>
            <c:strRef>
              <c:f>'Velocity Chart'!$C$1</c:f>
              <c:strCache>
                <c:ptCount val="1"/>
                <c:pt idx="0">
                  <c:v>Average</c:v>
                </c:pt>
              </c:strCache>
            </c:strRef>
          </c:tx>
          <c:marker>
            <c:symbol val="none"/>
          </c:marker>
          <c:val>
            <c:numRef>
              <c:f>'Velocity Chart'!$C$21:$C$25</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Chart'!$D$21:$D$25</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Chart'!$E$21:$E$25</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11830912"/>
        <c:axId val="111832448"/>
      </c:lineChart>
      <c:catAx>
        <c:axId val="111830912"/>
        <c:scaling>
          <c:orientation val="minMax"/>
        </c:scaling>
        <c:delete val="0"/>
        <c:axPos val="b"/>
        <c:majorTickMark val="out"/>
        <c:minorTickMark val="none"/>
        <c:tickLblPos val="nextTo"/>
        <c:crossAx val="111832448"/>
        <c:crosses val="autoZero"/>
        <c:auto val="1"/>
        <c:lblAlgn val="ctr"/>
        <c:lblOffset val="100"/>
        <c:noMultiLvlLbl val="0"/>
      </c:catAx>
      <c:valAx>
        <c:axId val="111832448"/>
        <c:scaling>
          <c:orientation val="minMax"/>
        </c:scaling>
        <c:delete val="0"/>
        <c:axPos val="l"/>
        <c:majorGridlines/>
        <c:numFmt formatCode="_-* #,##0\ _k_r_-;\-* #,##0\ _k_r_-;_-* &quot;-&quot;??\ _k_r_-;_-@_-" sourceLinked="1"/>
        <c:majorTickMark val="out"/>
        <c:minorTickMark val="none"/>
        <c:tickLblPos val="nextTo"/>
        <c:crossAx val="111830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600"/>
              <a:t>Velocity Chart based on Time Spent</a:t>
            </a:r>
            <a:endParaRPr lang="en-US" sz="1600" baseline="0"/>
          </a:p>
        </c:rich>
      </c:tx>
      <c:overlay val="0"/>
    </c:title>
    <c:autoTitleDeleted val="0"/>
    <c:plotArea>
      <c:layout/>
      <c:barChart>
        <c:barDir val="col"/>
        <c:grouping val="clustered"/>
        <c:varyColors val="0"/>
        <c:ser>
          <c:idx val="1"/>
          <c:order val="0"/>
          <c:tx>
            <c:strRef>
              <c:f>'Velocity Chart'!$B$1</c:f>
              <c:strCache>
                <c:ptCount val="1"/>
                <c:pt idx="0">
                  <c:v>Velocity</c:v>
                </c:pt>
              </c:strCache>
            </c:strRef>
          </c:tx>
          <c:invertIfNegative val="0"/>
          <c:val>
            <c:numRef>
              <c:f>'Velocity Chart'!$B$42:$B$46</c:f>
              <c:numCache>
                <c:formatCode>_-* #,##0\ _k_r_-;\-* #,##0\ _k_r_-;_-* "-"??\ _k_r_-;_-@_-</c:formatCode>
                <c:ptCount val="5"/>
                <c:pt idx="0">
                  <c:v>0</c:v>
                </c:pt>
                <c:pt idx="1">
                  <c:v>0</c:v>
                </c:pt>
                <c:pt idx="2">
                  <c:v>0</c:v>
                </c:pt>
                <c:pt idx="3">
                  <c:v>0</c:v>
                </c:pt>
                <c:pt idx="4">
                  <c:v>0</c:v>
                </c:pt>
              </c:numCache>
            </c:numRef>
          </c:val>
        </c:ser>
        <c:dLbls>
          <c:showLegendKey val="0"/>
          <c:showVal val="0"/>
          <c:showCatName val="0"/>
          <c:showSerName val="0"/>
          <c:showPercent val="0"/>
          <c:showBubbleSize val="0"/>
        </c:dLbls>
        <c:gapWidth val="150"/>
        <c:axId val="111872256"/>
        <c:axId val="111882240"/>
      </c:barChart>
      <c:lineChart>
        <c:grouping val="standard"/>
        <c:varyColors val="0"/>
        <c:ser>
          <c:idx val="2"/>
          <c:order val="1"/>
          <c:tx>
            <c:strRef>
              <c:f>'Velocity Chart'!$C$1</c:f>
              <c:strCache>
                <c:ptCount val="1"/>
                <c:pt idx="0">
                  <c:v>Average</c:v>
                </c:pt>
              </c:strCache>
            </c:strRef>
          </c:tx>
          <c:marker>
            <c:symbol val="none"/>
          </c:marker>
          <c:val>
            <c:numRef>
              <c:f>'Velocity Chart'!$C$42:$C$46</c:f>
              <c:numCache>
                <c:formatCode>_-* #,##0\ _k_r_-;\-* #,##0\ _k_r_-;_-* "-"??\ _k_r_-;_-@_-</c:formatCode>
                <c:ptCount val="5"/>
                <c:pt idx="0">
                  <c:v>0</c:v>
                </c:pt>
                <c:pt idx="1">
                  <c:v>0</c:v>
                </c:pt>
                <c:pt idx="2">
                  <c:v>0</c:v>
                </c:pt>
                <c:pt idx="3">
                  <c:v>0</c:v>
                </c:pt>
                <c:pt idx="4">
                  <c:v>0</c:v>
                </c:pt>
              </c:numCache>
            </c:numRef>
          </c:val>
          <c:smooth val="0"/>
        </c:ser>
        <c:ser>
          <c:idx val="3"/>
          <c:order val="2"/>
          <c:tx>
            <c:strRef>
              <c:f>'Velocity Chart'!$D$1</c:f>
              <c:strCache>
                <c:ptCount val="1"/>
                <c:pt idx="0">
                  <c:v>Min</c:v>
                </c:pt>
              </c:strCache>
            </c:strRef>
          </c:tx>
          <c:marker>
            <c:symbol val="none"/>
          </c:marker>
          <c:val>
            <c:numRef>
              <c:f>'Velocity Chart'!$D$42:$D$46</c:f>
              <c:numCache>
                <c:formatCode>_-* #,##0\ _k_r_-;\-* #,##0\ _k_r_-;_-* "-"??\ _k_r_-;_-@_-</c:formatCode>
                <c:ptCount val="5"/>
                <c:pt idx="0">
                  <c:v>0</c:v>
                </c:pt>
                <c:pt idx="1">
                  <c:v>0</c:v>
                </c:pt>
                <c:pt idx="2">
                  <c:v>0</c:v>
                </c:pt>
                <c:pt idx="3">
                  <c:v>0</c:v>
                </c:pt>
                <c:pt idx="4">
                  <c:v>0</c:v>
                </c:pt>
              </c:numCache>
            </c:numRef>
          </c:val>
          <c:smooth val="0"/>
        </c:ser>
        <c:ser>
          <c:idx val="4"/>
          <c:order val="3"/>
          <c:tx>
            <c:strRef>
              <c:f>'Velocity Chart'!$E$1</c:f>
              <c:strCache>
                <c:ptCount val="1"/>
                <c:pt idx="0">
                  <c:v>Max</c:v>
                </c:pt>
              </c:strCache>
            </c:strRef>
          </c:tx>
          <c:marker>
            <c:symbol val="none"/>
          </c:marker>
          <c:val>
            <c:numRef>
              <c:f>'Velocity Chart'!$E$42:$E$46</c:f>
              <c:numCache>
                <c:formatCode>_-* #,##0\ _k_r_-;\-* #,##0\ _k_r_-;_-* "-"??\ _k_r_-;_-@_-</c:formatCode>
                <c:ptCount val="5"/>
                <c:pt idx="0">
                  <c:v>0</c:v>
                </c:pt>
                <c:pt idx="1">
                  <c:v>0</c:v>
                </c:pt>
                <c:pt idx="2">
                  <c:v>0</c:v>
                </c:pt>
                <c:pt idx="3">
                  <c:v>0</c:v>
                </c:pt>
                <c:pt idx="4">
                  <c:v>0</c:v>
                </c:pt>
              </c:numCache>
            </c:numRef>
          </c:val>
          <c:smooth val="0"/>
        </c:ser>
        <c:dLbls>
          <c:showLegendKey val="0"/>
          <c:showVal val="0"/>
          <c:showCatName val="0"/>
          <c:showSerName val="0"/>
          <c:showPercent val="0"/>
          <c:showBubbleSize val="0"/>
        </c:dLbls>
        <c:marker val="1"/>
        <c:smooth val="0"/>
        <c:axId val="111872256"/>
        <c:axId val="111882240"/>
      </c:lineChart>
      <c:catAx>
        <c:axId val="111872256"/>
        <c:scaling>
          <c:orientation val="minMax"/>
        </c:scaling>
        <c:delete val="0"/>
        <c:axPos val="b"/>
        <c:majorTickMark val="out"/>
        <c:minorTickMark val="none"/>
        <c:tickLblPos val="nextTo"/>
        <c:crossAx val="111882240"/>
        <c:crosses val="autoZero"/>
        <c:auto val="1"/>
        <c:lblAlgn val="ctr"/>
        <c:lblOffset val="100"/>
        <c:noMultiLvlLbl val="0"/>
      </c:catAx>
      <c:valAx>
        <c:axId val="111882240"/>
        <c:scaling>
          <c:orientation val="minMax"/>
        </c:scaling>
        <c:delete val="0"/>
        <c:axPos val="l"/>
        <c:majorGridlines/>
        <c:numFmt formatCode="_-* #,##0\ _k_r_-;\-* #,##0\ _k_r_-;_-* &quot;-&quot;??\ _k_r_-;_-@_-" sourceLinked="1"/>
        <c:majorTickMark val="out"/>
        <c:minorTickMark val="none"/>
        <c:tickLblPos val="nextTo"/>
        <c:crossAx val="1118722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Backlog Burndown Chart</a:t>
            </a:r>
          </a:p>
        </c:rich>
      </c:tx>
      <c:overlay val="0"/>
    </c:title>
    <c:autoTitleDeleted val="0"/>
    <c:plotArea>
      <c:layout/>
      <c:barChart>
        <c:barDir val="col"/>
        <c:grouping val="clustered"/>
        <c:varyColors val="0"/>
        <c:ser>
          <c:idx val="0"/>
          <c:order val="0"/>
          <c:tx>
            <c:strRef>
              <c:f>'Backlog Burndown Chart'!$B$10</c:f>
              <c:strCache>
                <c:ptCount val="1"/>
                <c:pt idx="0">
                  <c:v>Velocity</c:v>
                </c:pt>
              </c:strCache>
            </c:strRef>
          </c:tx>
          <c:invertIfNegative val="0"/>
          <c:dLbls>
            <c:dLblPos val="outEnd"/>
            <c:showLegendKey val="0"/>
            <c:showVal val="1"/>
            <c:showCatName val="0"/>
            <c:showSerName val="0"/>
            <c:showPercent val="0"/>
            <c:showBubbleSize val="0"/>
            <c:showLeaderLines val="0"/>
          </c:dLbls>
          <c:cat>
            <c:numRef>
              <c:f>'Backlog Burndown Chart'!$A$11:$A$16</c:f>
              <c:numCache>
                <c:formatCode>General</c:formatCode>
                <c:ptCount val="6"/>
                <c:pt idx="0">
                  <c:v>0</c:v>
                </c:pt>
                <c:pt idx="1">
                  <c:v>1</c:v>
                </c:pt>
                <c:pt idx="2">
                  <c:v>2</c:v>
                </c:pt>
                <c:pt idx="3">
                  <c:v>3</c:v>
                </c:pt>
                <c:pt idx="4">
                  <c:v>4</c:v>
                </c:pt>
                <c:pt idx="5">
                  <c:v>5</c:v>
                </c:pt>
              </c:numCache>
            </c:numRef>
          </c:cat>
          <c:val>
            <c:numRef>
              <c:f>'Backlog Burndown Chart'!$B$11:$B$16</c:f>
              <c:numCache>
                <c:formatCode>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11931776"/>
        <c:axId val="111933696"/>
      </c:barChart>
      <c:lineChart>
        <c:grouping val="standard"/>
        <c:varyColors val="0"/>
        <c:ser>
          <c:idx val="1"/>
          <c:order val="1"/>
          <c:tx>
            <c:strRef>
              <c:f>'Backlog Burndown Chart'!$C$10</c:f>
              <c:strCache>
                <c:ptCount val="1"/>
                <c:pt idx="0">
                  <c:v>Remaining Work</c:v>
                </c:pt>
              </c:strCache>
            </c:strRef>
          </c:tx>
          <c:cat>
            <c:numRef>
              <c:f>'Backlog Burndown Chart'!$A$11:$A$16</c:f>
              <c:numCache>
                <c:formatCode>General</c:formatCode>
                <c:ptCount val="6"/>
                <c:pt idx="0">
                  <c:v>0</c:v>
                </c:pt>
                <c:pt idx="1">
                  <c:v>1</c:v>
                </c:pt>
                <c:pt idx="2">
                  <c:v>2</c:v>
                </c:pt>
                <c:pt idx="3">
                  <c:v>3</c:v>
                </c:pt>
                <c:pt idx="4">
                  <c:v>4</c:v>
                </c:pt>
                <c:pt idx="5">
                  <c:v>5</c:v>
                </c:pt>
              </c:numCache>
            </c:numRef>
          </c:cat>
          <c:val>
            <c:numRef>
              <c:f>'Backlog Burndown Chart'!$C$11:$C$16</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11931776"/>
        <c:axId val="111933696"/>
      </c:lineChart>
      <c:catAx>
        <c:axId val="111931776"/>
        <c:scaling>
          <c:orientation val="minMax"/>
        </c:scaling>
        <c:delete val="0"/>
        <c:axPos val="b"/>
        <c:title>
          <c:tx>
            <c:rich>
              <a:bodyPr/>
              <a:lstStyle/>
              <a:p>
                <a:pPr>
                  <a:defRPr/>
                </a:pPr>
                <a:r>
                  <a:rPr lang="sv-SE"/>
                  <a:t>Sprint</a:t>
                </a:r>
                <a:r>
                  <a:rPr lang="sv-SE" baseline="0"/>
                  <a:t> #</a:t>
                </a:r>
                <a:endParaRPr lang="sv-SE"/>
              </a:p>
            </c:rich>
          </c:tx>
          <c:overlay val="0"/>
        </c:title>
        <c:numFmt formatCode="General" sourceLinked="1"/>
        <c:majorTickMark val="out"/>
        <c:minorTickMark val="none"/>
        <c:tickLblPos val="nextTo"/>
        <c:crossAx val="111933696"/>
        <c:crosses val="autoZero"/>
        <c:auto val="1"/>
        <c:lblAlgn val="ctr"/>
        <c:lblOffset val="100"/>
        <c:noMultiLvlLbl val="0"/>
      </c:catAx>
      <c:valAx>
        <c:axId val="111933696"/>
        <c:scaling>
          <c:orientation val="minMax"/>
        </c:scaling>
        <c:delete val="0"/>
        <c:axPos val="l"/>
        <c:majorGridlines/>
        <c:title>
          <c:tx>
            <c:rich>
              <a:bodyPr rot="-5400000" vert="horz"/>
              <a:lstStyle/>
              <a:p>
                <a:pPr>
                  <a:defRPr/>
                </a:pPr>
                <a:r>
                  <a:rPr lang="sv-SE"/>
                  <a:t>Hours</a:t>
                </a:r>
              </a:p>
            </c:rich>
          </c:tx>
          <c:overlay val="0"/>
        </c:title>
        <c:numFmt formatCode="0" sourceLinked="1"/>
        <c:majorTickMark val="out"/>
        <c:minorTickMark val="none"/>
        <c:tickLblPos val="nextTo"/>
        <c:crossAx val="1119317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sv-SE"/>
              <a:t>Sprint</a:t>
            </a:r>
            <a:r>
              <a:rPr lang="sv-SE" baseline="0"/>
              <a:t> Burndown Chart</a:t>
            </a:r>
          </a:p>
        </c:rich>
      </c:tx>
      <c:overlay val="0"/>
    </c:title>
    <c:autoTitleDeleted val="0"/>
    <c:plotArea>
      <c:layout/>
      <c:lineChart>
        <c:grouping val="standard"/>
        <c:varyColors val="0"/>
        <c:ser>
          <c:idx val="0"/>
          <c:order val="0"/>
          <c:tx>
            <c:strRef>
              <c:f>'Sprint Burndown Chart'!$B$7</c:f>
              <c:strCache>
                <c:ptCount val="1"/>
                <c:pt idx="0">
                  <c:v>Sprint 1</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Chart'!$C$7:$H$7</c:f>
              <c:numCache>
                <c:formatCode>0</c:formatCode>
                <c:ptCount val="6"/>
                <c:pt idx="0">
                  <c:v>0</c:v>
                </c:pt>
                <c:pt idx="1">
                  <c:v>0</c:v>
                </c:pt>
                <c:pt idx="2">
                  <c:v>0</c:v>
                </c:pt>
                <c:pt idx="3">
                  <c:v>0</c:v>
                </c:pt>
                <c:pt idx="4">
                  <c:v>0</c:v>
                </c:pt>
                <c:pt idx="5">
                  <c:v>0</c:v>
                </c:pt>
              </c:numCache>
            </c:numRef>
          </c:val>
          <c:smooth val="0"/>
        </c:ser>
        <c:ser>
          <c:idx val="1"/>
          <c:order val="1"/>
          <c:tx>
            <c:strRef>
              <c:f>'Sprint Burndown Chart'!$B$8</c:f>
              <c:strCache>
                <c:ptCount val="1"/>
                <c:pt idx="0">
                  <c:v>Ideal Burndown</c:v>
                </c:pt>
              </c:strCache>
            </c:strRef>
          </c:tx>
          <c:marker>
            <c:symbol val="none"/>
          </c:marker>
          <c:cat>
            <c:numRef>
              <c:f>'Sprint Burndown Chart'!$C$6:$H$6</c:f>
              <c:numCache>
                <c:formatCode>General</c:formatCode>
                <c:ptCount val="6"/>
                <c:pt idx="0">
                  <c:v>0</c:v>
                </c:pt>
                <c:pt idx="1">
                  <c:v>1</c:v>
                </c:pt>
                <c:pt idx="2">
                  <c:v>2</c:v>
                </c:pt>
                <c:pt idx="3">
                  <c:v>3</c:v>
                </c:pt>
                <c:pt idx="4">
                  <c:v>4</c:v>
                </c:pt>
                <c:pt idx="5">
                  <c:v>5</c:v>
                </c:pt>
              </c:numCache>
            </c:numRef>
          </c:cat>
          <c:val>
            <c:numRef>
              <c:f>'Sprint Burndown Chart'!$C$8:$H$8</c:f>
              <c:numCache>
                <c:formatCode>0</c:formatCode>
                <c:ptCount val="6"/>
                <c:pt idx="0">
                  <c:v>0</c:v>
                </c:pt>
                <c:pt idx="1">
                  <c:v>0</c:v>
                </c:pt>
                <c:pt idx="2">
                  <c:v>0</c:v>
                </c:pt>
                <c:pt idx="3">
                  <c:v>0</c:v>
                </c:pt>
                <c:pt idx="4">
                  <c:v>0</c:v>
                </c:pt>
                <c:pt idx="5">
                  <c:v>0</c:v>
                </c:pt>
              </c:numCache>
            </c:numRef>
          </c:val>
          <c:smooth val="0"/>
        </c:ser>
        <c:dLbls>
          <c:showLegendKey val="0"/>
          <c:showVal val="0"/>
          <c:showCatName val="0"/>
          <c:showSerName val="0"/>
          <c:showPercent val="0"/>
          <c:showBubbleSize val="0"/>
        </c:dLbls>
        <c:marker val="1"/>
        <c:smooth val="0"/>
        <c:axId val="111986944"/>
        <c:axId val="110109056"/>
      </c:lineChart>
      <c:catAx>
        <c:axId val="111986944"/>
        <c:scaling>
          <c:orientation val="minMax"/>
        </c:scaling>
        <c:delete val="0"/>
        <c:axPos val="b"/>
        <c:title>
          <c:tx>
            <c:rich>
              <a:bodyPr/>
              <a:lstStyle/>
              <a:p>
                <a:pPr>
                  <a:defRPr/>
                </a:pPr>
                <a:r>
                  <a:rPr lang="en-US"/>
                  <a:t>Day in sprint</a:t>
                </a:r>
              </a:p>
            </c:rich>
          </c:tx>
          <c:overlay val="0"/>
        </c:title>
        <c:numFmt formatCode="General" sourceLinked="1"/>
        <c:majorTickMark val="none"/>
        <c:minorTickMark val="none"/>
        <c:tickLblPos val="nextTo"/>
        <c:crossAx val="110109056"/>
        <c:crosses val="autoZero"/>
        <c:auto val="1"/>
        <c:lblAlgn val="ctr"/>
        <c:lblOffset val="100"/>
        <c:noMultiLvlLbl val="0"/>
      </c:catAx>
      <c:valAx>
        <c:axId val="110109056"/>
        <c:scaling>
          <c:orientation val="minMax"/>
        </c:scaling>
        <c:delete val="0"/>
        <c:axPos val="l"/>
        <c:majorGridlines/>
        <c:title>
          <c:tx>
            <c:rich>
              <a:bodyPr/>
              <a:lstStyle/>
              <a:p>
                <a:pPr>
                  <a:defRPr/>
                </a:pPr>
                <a:r>
                  <a:rPr lang="sv-SE"/>
                  <a:t>Hours Remaining</a:t>
                </a:r>
              </a:p>
            </c:rich>
          </c:tx>
          <c:overlay val="0"/>
        </c:title>
        <c:numFmt formatCode="0" sourceLinked="1"/>
        <c:majorTickMark val="none"/>
        <c:minorTickMark val="none"/>
        <c:tickLblPos val="nextTo"/>
        <c:crossAx val="111986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1104900</xdr:colOff>
          <xdr:row>2</xdr:row>
          <xdr:rowOff>9525</xdr:rowOff>
        </xdr:from>
        <xdr:to>
          <xdr:col>4</xdr:col>
          <xdr:colOff>0</xdr:colOff>
          <xdr:row>3</xdr:row>
          <xdr:rowOff>133350</xdr:rowOff>
        </xdr:to>
        <xdr:sp macro="" textlink="">
          <xdr:nvSpPr>
            <xdr:cNvPr id="4098" name="CommandButton1"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276225</xdr:colOff>
      <xdr:row>1</xdr:row>
      <xdr:rowOff>14287</xdr:rowOff>
    </xdr:from>
    <xdr:to>
      <xdr:col>12</xdr:col>
      <xdr:colOff>581025</xdr:colOff>
      <xdr:row>18</xdr:row>
      <xdr:rowOff>4762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304800</xdr:colOff>
      <xdr:row>20</xdr:row>
      <xdr:rowOff>19050</xdr:rowOff>
    </xdr:from>
    <xdr:to>
      <xdr:col>13</xdr:col>
      <xdr:colOff>0</xdr:colOff>
      <xdr:row>37</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285750</xdr:colOff>
      <xdr:row>39</xdr:row>
      <xdr:rowOff>57150</xdr:rowOff>
    </xdr:from>
    <xdr:to>
      <xdr:col>12</xdr:col>
      <xdr:colOff>590550</xdr:colOff>
      <xdr:row>56</xdr:row>
      <xdr:rowOff>47625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104775</xdr:colOff>
      <xdr:row>1</xdr:row>
      <xdr:rowOff>0</xdr:rowOff>
    </xdr:from>
    <xdr:to>
      <xdr:col>16</xdr:col>
      <xdr:colOff>133350</xdr:colOff>
      <xdr:row>27</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9</xdr:row>
      <xdr:rowOff>152400</xdr:rowOff>
    </xdr:from>
    <xdr:to>
      <xdr:col>8</xdr:col>
      <xdr:colOff>533400</xdr:colOff>
      <xdr:row>26</xdr:row>
      <xdr:rowOff>142875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filterMode="1"/>
  <dimension ref="A1:AR105"/>
  <sheetViews>
    <sheetView tabSelected="1" zoomScale="80" zoomScaleNormal="80" workbookViewId="0">
      <pane xSplit="4" ySplit="5" topLeftCell="F26" activePane="bottomRight" state="frozen"/>
      <selection pane="topRight" activeCell="C1" sqref="C1"/>
      <selection pane="bottomLeft" activeCell="A2" sqref="A2"/>
      <selection pane="bottomRight" activeCell="F55" sqref="F55"/>
    </sheetView>
  </sheetViews>
  <sheetFormatPr defaultColWidth="93.85546875" defaultRowHeight="11.25" x14ac:dyDescent="0.2"/>
  <cols>
    <col min="1" max="1" width="4" style="19" customWidth="1"/>
    <col min="2" max="2" width="8.7109375" style="19" hidden="1" customWidth="1"/>
    <col min="3" max="3" width="11.85546875" style="25" hidden="1" customWidth="1"/>
    <col min="4" max="4" width="43.140625" style="19" customWidth="1"/>
    <col min="5" max="5" width="20.42578125" style="19" customWidth="1"/>
    <col min="6" max="6" width="23.42578125" style="19" customWidth="1"/>
    <col min="7" max="7" width="30.7109375" style="15" customWidth="1"/>
    <col min="8" max="8" width="36" style="15" customWidth="1"/>
    <col min="9" max="9" width="15" style="19" hidden="1" customWidth="1"/>
    <col min="10" max="10" width="8.42578125" style="19" hidden="1" customWidth="1"/>
    <col min="11" max="11" width="18.85546875" style="15" hidden="1" customWidth="1"/>
    <col min="12" max="12" width="25.5703125" style="15" hidden="1" customWidth="1"/>
    <col min="13" max="13" width="11.85546875" style="15" customWidth="1"/>
    <col min="14" max="14" width="11.7109375" style="29" hidden="1" customWidth="1"/>
    <col min="15" max="15" width="15" style="19" hidden="1" customWidth="1"/>
    <col min="16" max="16" width="33.42578125" style="19" customWidth="1"/>
    <col min="17" max="17" width="7.28515625" style="19" hidden="1" customWidth="1"/>
    <col min="18" max="18" width="8.7109375" style="19" hidden="1" customWidth="1"/>
    <col min="19" max="19" width="10.28515625" style="19" hidden="1" customWidth="1"/>
    <col min="20" max="20" width="14.7109375" style="25" hidden="1" customWidth="1"/>
    <col min="21" max="22" width="9.42578125" style="85" hidden="1" customWidth="1"/>
    <col min="23" max="23" width="11.42578125" style="85" hidden="1" customWidth="1"/>
    <col min="24" max="24" width="12.7109375" style="85" hidden="1" customWidth="1"/>
    <col min="25" max="25" width="10.5703125" style="25" hidden="1" customWidth="1"/>
    <col min="26" max="26" width="11.140625" style="25" hidden="1" customWidth="1"/>
    <col min="27" max="28" width="20.42578125" style="88" hidden="1" customWidth="1"/>
    <col min="29" max="29" width="20.5703125" style="85" hidden="1" customWidth="1"/>
    <col min="30" max="30" width="12.140625" style="19" hidden="1" customWidth="1"/>
    <col min="31" max="31" width="15.28515625" style="19" hidden="1" customWidth="1"/>
    <col min="32" max="32" width="15.5703125" style="15" hidden="1" customWidth="1"/>
    <col min="33" max="33" width="12.5703125" style="15" hidden="1" customWidth="1"/>
    <col min="34" max="34" width="18" style="15" hidden="1" customWidth="1"/>
    <col min="35" max="35" width="17.42578125" style="15" hidden="1" customWidth="1"/>
    <col min="36" max="36" width="2.5703125" style="26" hidden="1" customWidth="1"/>
    <col min="37" max="37" width="15.7109375" style="15" hidden="1" customWidth="1"/>
    <col min="38" max="38" width="27.140625" style="15" hidden="1" customWidth="1"/>
    <col min="39" max="39" width="22.5703125" style="15" hidden="1" customWidth="1"/>
    <col min="40" max="40" width="36.28515625" style="15" hidden="1" customWidth="1"/>
    <col min="41" max="41" width="4.5703125" style="26" customWidth="1"/>
    <col min="42" max="42" width="12.140625" style="15" hidden="1" customWidth="1"/>
    <col min="43" max="43" width="15.42578125" style="15" hidden="1" customWidth="1"/>
    <col min="44" max="16384" width="93.85546875" style="19"/>
  </cols>
  <sheetData>
    <row r="1" spans="1:44" ht="15.75" x14ac:dyDescent="0.25">
      <c r="D1" s="134" t="s">
        <v>83</v>
      </c>
      <c r="F1" s="134"/>
      <c r="G1" s="134"/>
    </row>
    <row r="2" spans="1:44" x14ac:dyDescent="0.2">
      <c r="D2" s="19" t="s">
        <v>96</v>
      </c>
    </row>
    <row r="3" spans="1:44" ht="15.75" x14ac:dyDescent="0.25">
      <c r="A3" s="134"/>
      <c r="C3" s="134"/>
      <c r="D3" s="134"/>
    </row>
    <row r="5" spans="1:44" s="35" customFormat="1" ht="33.75" x14ac:dyDescent="0.2">
      <c r="A5" s="32" t="s">
        <v>0</v>
      </c>
      <c r="B5" s="32" t="s">
        <v>89</v>
      </c>
      <c r="C5" s="146" t="s">
        <v>51</v>
      </c>
      <c r="D5" s="32" t="s">
        <v>52</v>
      </c>
      <c r="E5" s="32" t="s">
        <v>2</v>
      </c>
      <c r="F5" s="32" t="s">
        <v>56</v>
      </c>
      <c r="G5" s="32" t="s">
        <v>57</v>
      </c>
      <c r="H5" s="32" t="s">
        <v>58</v>
      </c>
      <c r="I5" s="32" t="s">
        <v>84</v>
      </c>
      <c r="J5" s="32" t="s">
        <v>86</v>
      </c>
      <c r="K5" s="32" t="s">
        <v>97</v>
      </c>
      <c r="L5" s="32" t="s">
        <v>55</v>
      </c>
      <c r="M5" s="32" t="s">
        <v>24</v>
      </c>
      <c r="N5" s="33" t="s">
        <v>25</v>
      </c>
      <c r="O5" s="32" t="s">
        <v>85</v>
      </c>
      <c r="P5" s="32" t="s">
        <v>23</v>
      </c>
      <c r="Q5" s="144" t="s">
        <v>16</v>
      </c>
      <c r="R5" s="144" t="s">
        <v>18</v>
      </c>
      <c r="S5" s="144" t="s">
        <v>17</v>
      </c>
      <c r="T5" s="41" t="s">
        <v>54</v>
      </c>
      <c r="U5" s="145" t="s">
        <v>19</v>
      </c>
      <c r="V5" s="145" t="s">
        <v>95</v>
      </c>
      <c r="W5" s="143" t="s">
        <v>20</v>
      </c>
      <c r="X5" s="143" t="s">
        <v>21</v>
      </c>
      <c r="Y5" s="41" t="s">
        <v>60</v>
      </c>
      <c r="Z5" s="41" t="s">
        <v>61</v>
      </c>
      <c r="AA5" s="143" t="s">
        <v>82</v>
      </c>
      <c r="AB5" s="143" t="s">
        <v>91</v>
      </c>
      <c r="AC5" s="143" t="s">
        <v>49</v>
      </c>
      <c r="AD5" s="144" t="s">
        <v>46</v>
      </c>
      <c r="AE5" s="144" t="s">
        <v>59</v>
      </c>
      <c r="AF5" s="142" t="s">
        <v>31</v>
      </c>
      <c r="AG5" s="142" t="s">
        <v>30</v>
      </c>
      <c r="AH5" s="142" t="s">
        <v>37</v>
      </c>
      <c r="AI5" s="142" t="s">
        <v>38</v>
      </c>
      <c r="AJ5" s="34"/>
      <c r="AK5" s="142" t="s">
        <v>1</v>
      </c>
      <c r="AL5" s="142" t="s">
        <v>3</v>
      </c>
      <c r="AM5" s="142" t="s">
        <v>4</v>
      </c>
      <c r="AN5" s="142" t="s">
        <v>8</v>
      </c>
      <c r="AO5" s="34"/>
      <c r="AP5" s="142" t="s">
        <v>15</v>
      </c>
      <c r="AQ5" s="142" t="s">
        <v>7</v>
      </c>
      <c r="AR5" s="35" t="s">
        <v>182</v>
      </c>
    </row>
    <row r="6" spans="1:44" ht="33.75" hidden="1" x14ac:dyDescent="0.2">
      <c r="A6" s="20"/>
      <c r="B6" s="21"/>
      <c r="C6" s="36">
        <f t="shared" ref="C6:C32" ca="1" si="0">AC6</f>
        <v>0</v>
      </c>
      <c r="D6" s="37" t="s">
        <v>100</v>
      </c>
      <c r="E6" s="21"/>
      <c r="F6" s="21"/>
      <c r="G6" s="22"/>
      <c r="H6" s="22"/>
      <c r="I6" s="21" t="s">
        <v>90</v>
      </c>
      <c r="J6" s="21" t="s">
        <v>88</v>
      </c>
      <c r="K6" s="22"/>
      <c r="L6" s="22"/>
      <c r="M6" s="22"/>
      <c r="N6" s="28"/>
      <c r="O6" s="21"/>
      <c r="P6" s="30"/>
      <c r="Q6" s="22"/>
      <c r="R6" s="22"/>
      <c r="S6" s="22"/>
      <c r="T6" s="83"/>
      <c r="U6" s="86">
        <f t="shared" ref="U6:U37" si="1">(Q6+(3*S6)+R6)/5</f>
        <v>0</v>
      </c>
      <c r="V6" s="86">
        <f>IF(U6&gt;32,100,IF(U6&gt;16,32,IF(U6&gt;8,16,IF(U6&gt;4,8,IF(U6&gt;2,4,IF(U6&gt;1,2,IF(U6&gt;0,1,0)))))))</f>
        <v>0</v>
      </c>
      <c r="W6" s="87">
        <f t="shared" ref="W6:W32" si="2">(R6-Q6)/5</f>
        <v>0</v>
      </c>
      <c r="X6" s="87">
        <f t="shared" ref="X6:X38" si="3">W6*W6</f>
        <v>0</v>
      </c>
      <c r="Y6" s="36">
        <f t="shared" ref="Y6:Y37" si="4">ROUND(U6-(ROUND(SQRT(X6),0)),0)</f>
        <v>0</v>
      </c>
      <c r="Z6" s="36">
        <f t="shared" ref="Z6:Z37" si="5">ROUND(U6+(ROUND(SQRT(X6),0)),0)</f>
        <v>0</v>
      </c>
      <c r="AA6" s="89">
        <f ca="1">IF(ROW(U6)=6,U6,U6+OFFSET(AA6,-1,0))</f>
        <v>0</v>
      </c>
      <c r="AB6" s="89">
        <f>SQRT(SUM(X$6:X6))</f>
        <v>0</v>
      </c>
      <c r="AC6" s="89">
        <f t="shared" ref="AC6:AC32" ca="1" si="6">AA6+AB6</f>
        <v>0</v>
      </c>
      <c r="AD6" s="42">
        <f t="shared" ref="AD6:AD38" si="7">IFERROR(W6/U6,0)</f>
        <v>0</v>
      </c>
      <c r="AE6" s="42">
        <f t="shared" ref="AE6:AE32" si="8">IFERROR(X6/SUMIF(T$6:T$32,T6,X$6:X$32),0)</f>
        <v>0</v>
      </c>
      <c r="AF6" s="38">
        <f ca="1">IFERROR(IF(VLOOKUP($A6,Tasks!$X$4:$AC$30,COLUMN(Tasks!$Y$4)-COLUMN(Tasks!$X$4)+1,FALSE)&gt;0,1,0),0)</f>
        <v>0</v>
      </c>
      <c r="AG6" s="39">
        <f ca="1">IF(AF6,IFERROR(VLOOKUP($A6,Tasks!$X$4:$AC$30,COLUMN(Tasks!$Y$4)-COLUMN(Tasks!$X$4)+1,FALSE),0),U6)</f>
        <v>0</v>
      </c>
      <c r="AH6" s="39">
        <f ca="1">IF(AF6,IFERROR(VLOOKUP($A6,Tasks!$X$4:$AC$30,COLUMN(Tasks!$AB$4)-COLUMN(Tasks!$X$4)+1,FALSE),0),Y6)</f>
        <v>0</v>
      </c>
      <c r="AI6" s="39">
        <f ca="1">IF(AF6,IFERROR(VLOOKUP($A6,Tasks!$X$4:$AC$30,COLUMN(Tasks!$AC$4)-COLUMN(Tasks!$X$4)+1,FALSE),0),Z6)</f>
        <v>0</v>
      </c>
      <c r="AJ6" s="18"/>
      <c r="AK6" s="22"/>
      <c r="AL6" s="22"/>
      <c r="AM6" s="22" t="s">
        <v>39</v>
      </c>
      <c r="AN6" s="22"/>
      <c r="AO6" s="18"/>
      <c r="AP6" s="22"/>
      <c r="AQ6" s="24"/>
    </row>
    <row r="7" spans="1:44" ht="56.25" x14ac:dyDescent="0.2">
      <c r="A7" s="20"/>
      <c r="B7" s="21"/>
      <c r="C7" s="36">
        <f t="shared" ca="1" si="0"/>
        <v>0</v>
      </c>
      <c r="D7" s="37" t="str">
        <f>CONCATENATE(Parameters!$B$2,F7,CHAR(10),Parameters!$B$3,G7,CHAR(10),Parameters!$B$4,H7)</f>
        <v>GIVEN  you are logged in to the system as test lead, Master editor, Local editor
WHEN chosing to create a test sequence
THEN  you should be able to add test cases and save and name test sequence with a uniqe name</v>
      </c>
      <c r="E7" s="140"/>
      <c r="F7" s="22" t="s">
        <v>129</v>
      </c>
      <c r="G7" s="22" t="s">
        <v>101</v>
      </c>
      <c r="H7" s="22" t="s">
        <v>128</v>
      </c>
      <c r="I7" s="21"/>
      <c r="J7" s="21" t="s">
        <v>88</v>
      </c>
      <c r="K7" s="22"/>
      <c r="L7" s="22"/>
      <c r="M7" s="22" t="s">
        <v>132</v>
      </c>
      <c r="N7" s="28"/>
      <c r="O7" s="21"/>
      <c r="P7" s="30"/>
      <c r="Q7" s="22"/>
      <c r="R7" s="22"/>
      <c r="S7" s="22"/>
      <c r="T7" s="83"/>
      <c r="U7" s="86">
        <f t="shared" si="1"/>
        <v>0</v>
      </c>
      <c r="V7" s="86">
        <f t="shared" ref="V7:V32" si="9">IF(U7&gt;32,100,IF(U7&gt;16,32,IF(U7&gt;8,16,IF(U7&gt;4,8,IF(U7&gt;2,4,IF(U7&gt;1,2,IF(U7&gt;0,1,0)))))))</f>
        <v>0</v>
      </c>
      <c r="W7" s="87">
        <f t="shared" si="2"/>
        <v>0</v>
      </c>
      <c r="X7" s="87">
        <f t="shared" si="3"/>
        <v>0</v>
      </c>
      <c r="Y7" s="36">
        <f t="shared" si="4"/>
        <v>0</v>
      </c>
      <c r="Z7" s="36">
        <f t="shared" si="5"/>
        <v>0</v>
      </c>
      <c r="AA7" s="89">
        <f t="shared" ref="AA7:AA32" ca="1" si="10">IF(ROW(U7)=6,U7,U7+OFFSET(AA7,-1,0))</f>
        <v>0</v>
      </c>
      <c r="AB7" s="89">
        <f>SQRT(SUM(X$6:X7))</f>
        <v>0</v>
      </c>
      <c r="AC7" s="89">
        <f t="shared" ca="1" si="6"/>
        <v>0</v>
      </c>
      <c r="AD7" s="42">
        <f t="shared" si="7"/>
        <v>0</v>
      </c>
      <c r="AE7" s="42">
        <f t="shared" si="8"/>
        <v>0</v>
      </c>
      <c r="AF7" s="38">
        <f ca="1">IFERROR(IF(VLOOKUP($A7,Tasks!$X$4:$AC$30,COLUMN(Tasks!$Y$4)-COLUMN(Tasks!$X$4)+1,FALSE)&gt;0,1,0),0)</f>
        <v>0</v>
      </c>
      <c r="AG7" s="39">
        <f ca="1">IF(AF7,IFERROR(VLOOKUP($A7,Tasks!$X$4:$AC$30,COLUMN(Tasks!$Y$4)-COLUMN(Tasks!$X$4)+1,FALSE),0),U7)</f>
        <v>0</v>
      </c>
      <c r="AH7" s="39">
        <f ca="1">IF(AF7,IFERROR(VLOOKUP($A7,Tasks!$X$4:$AC$30,COLUMN(Tasks!$AB$4)-COLUMN(Tasks!$X$4)+1,FALSE),0),Y7)</f>
        <v>0</v>
      </c>
      <c r="AI7" s="39">
        <f ca="1">IF(AF7,IFERROR(VLOOKUP($A7,Tasks!$X$4:$AC$30,COLUMN(Tasks!$AC$4)-COLUMN(Tasks!$X$4)+1,FALSE),0),Z7)</f>
        <v>0</v>
      </c>
      <c r="AJ7" s="18"/>
      <c r="AK7" s="22"/>
      <c r="AL7" s="141"/>
      <c r="AM7" s="22" t="s">
        <v>39</v>
      </c>
      <c r="AN7" s="22"/>
      <c r="AO7" s="18"/>
      <c r="AP7" s="22"/>
      <c r="AQ7" s="22"/>
    </row>
    <row r="8" spans="1:44" ht="101.25" x14ac:dyDescent="0.2">
      <c r="A8" s="20"/>
      <c r="B8" s="21"/>
      <c r="C8" s="36">
        <f t="shared" ca="1" si="0"/>
        <v>0</v>
      </c>
      <c r="D8" s="37" t="str">
        <f>CONCATENATE(Parameters!$B$2,F8,CHAR(10),Parameters!$B$3,G8,CHAR(10),Parameters!$B$4,H8)</f>
        <v>GIVEN you are logged in as test lead, local editor, master editor
WHEN  chosing to create a test routine
THEN you should be able to add description and create a protocol(Add activities as check list).
You should aso be able to chose periodicity.(one time every morning other.)</v>
      </c>
      <c r="E8" s="20"/>
      <c r="F8" s="22" t="s">
        <v>102</v>
      </c>
      <c r="G8" s="22" t="s">
        <v>103</v>
      </c>
      <c r="H8" s="22" t="s">
        <v>131</v>
      </c>
      <c r="I8" s="21"/>
      <c r="J8" s="21" t="s">
        <v>88</v>
      </c>
      <c r="K8" s="22"/>
      <c r="L8" s="22"/>
      <c r="M8" s="22" t="s">
        <v>132</v>
      </c>
      <c r="N8" s="27"/>
      <c r="O8" s="21"/>
      <c r="P8" s="30" t="s">
        <v>130</v>
      </c>
      <c r="Q8" s="22"/>
      <c r="R8" s="22"/>
      <c r="S8" s="22"/>
      <c r="T8" s="83"/>
      <c r="U8" s="86">
        <f t="shared" si="1"/>
        <v>0</v>
      </c>
      <c r="V8" s="86">
        <f t="shared" si="9"/>
        <v>0</v>
      </c>
      <c r="W8" s="87">
        <f t="shared" si="2"/>
        <v>0</v>
      </c>
      <c r="X8" s="87">
        <f t="shared" si="3"/>
        <v>0</v>
      </c>
      <c r="Y8" s="36">
        <f t="shared" si="4"/>
        <v>0</v>
      </c>
      <c r="Z8" s="36">
        <f t="shared" si="5"/>
        <v>0</v>
      </c>
      <c r="AA8" s="89">
        <f t="shared" ca="1" si="10"/>
        <v>0</v>
      </c>
      <c r="AB8" s="89">
        <f>SQRT(SUM(X$6:X8))</f>
        <v>0</v>
      </c>
      <c r="AC8" s="89">
        <f t="shared" ca="1" si="6"/>
        <v>0</v>
      </c>
      <c r="AD8" s="42">
        <f t="shared" si="7"/>
        <v>0</v>
      </c>
      <c r="AE8" s="42">
        <f t="shared" si="8"/>
        <v>0</v>
      </c>
      <c r="AF8" s="38">
        <f ca="1">IFERROR(IF(VLOOKUP($A8,Tasks!$X$4:$AC$30,COLUMN(Tasks!$Y$4)-COLUMN(Tasks!$X$4)+1,FALSE)&gt;0,1,0),0)</f>
        <v>0</v>
      </c>
      <c r="AG8" s="39">
        <f ca="1">IF(AF8,IFERROR(VLOOKUP($A8,Tasks!$X$4:$AC$30,COLUMN(Tasks!$Y$4)-COLUMN(Tasks!$X$4)+1,FALSE),0),U8)</f>
        <v>0</v>
      </c>
      <c r="AH8" s="39">
        <f ca="1">IF(AF8,IFERROR(VLOOKUP($A8,Tasks!$X$4:$AC$30,COLUMN(Tasks!$AB$4)-COLUMN(Tasks!$X$4)+1,FALSE),0),Y8)</f>
        <v>0</v>
      </c>
      <c r="AI8" s="39">
        <f ca="1">IF(AF8,IFERROR(VLOOKUP($A8,Tasks!$X$4:$AC$30,COLUMN(Tasks!$AC$4)-COLUMN(Tasks!$X$4)+1,FALSE),0),Z8)</f>
        <v>0</v>
      </c>
      <c r="AJ8" s="18"/>
      <c r="AK8" s="22"/>
      <c r="AL8" s="22"/>
      <c r="AM8" s="22" t="s">
        <v>39</v>
      </c>
      <c r="AN8" s="22"/>
      <c r="AO8" s="18"/>
      <c r="AP8" s="22"/>
      <c r="AQ8" s="22"/>
    </row>
    <row r="9" spans="1:44" ht="225" x14ac:dyDescent="0.2">
      <c r="A9" s="20"/>
      <c r="B9" s="21"/>
      <c r="C9" s="36">
        <f t="shared" ca="1" si="0"/>
        <v>0</v>
      </c>
      <c r="D9" s="37" t="str">
        <f>CONCATENATE(Parameters!$B$2,F9,CHAR(10),Parameters!$B$3,G9,CHAR(10),Parameters!$B$4,H9)</f>
        <v xml:space="preserve">GIVEN you are logged in as test lead, local editor, master editor
WHEN  chosing to create a test case
THEN You should be able to chose to specify what node(truck function) the thest belongs to.
You should be able to add a description of the test and an expected result.
You should be able to chose for which variants and product class the test case are valid for.
You should be able to select a category for which the test belong(private,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leaders.
</v>
      </c>
      <c r="E9" s="21"/>
      <c r="F9" s="22" t="s">
        <v>102</v>
      </c>
      <c r="G9" s="22" t="s">
        <v>104</v>
      </c>
      <c r="H9" s="22" t="s">
        <v>137</v>
      </c>
      <c r="I9" s="21"/>
      <c r="J9" s="21" t="s">
        <v>88</v>
      </c>
      <c r="K9" s="22"/>
      <c r="L9" s="22" t="s">
        <v>133</v>
      </c>
      <c r="M9" s="22" t="s">
        <v>132</v>
      </c>
      <c r="N9" s="28"/>
      <c r="O9" s="21"/>
      <c r="P9" s="30"/>
      <c r="Q9" s="22"/>
      <c r="R9" s="22"/>
      <c r="S9" s="22"/>
      <c r="T9" s="83"/>
      <c r="U9" s="86">
        <f t="shared" si="1"/>
        <v>0</v>
      </c>
      <c r="V9" s="86">
        <f t="shared" si="9"/>
        <v>0</v>
      </c>
      <c r="W9" s="87">
        <f t="shared" si="2"/>
        <v>0</v>
      </c>
      <c r="X9" s="87">
        <f t="shared" si="3"/>
        <v>0</v>
      </c>
      <c r="Y9" s="36">
        <f t="shared" si="4"/>
        <v>0</v>
      </c>
      <c r="Z9" s="36">
        <f t="shared" si="5"/>
        <v>0</v>
      </c>
      <c r="AA9" s="89">
        <f t="shared" ca="1" si="10"/>
        <v>0</v>
      </c>
      <c r="AB9" s="89">
        <f>SQRT(SUM(X$6:X9))</f>
        <v>0</v>
      </c>
      <c r="AC9" s="89">
        <f t="shared" ca="1" si="6"/>
        <v>0</v>
      </c>
      <c r="AD9" s="42">
        <f t="shared" si="7"/>
        <v>0</v>
      </c>
      <c r="AE9" s="42">
        <f t="shared" si="8"/>
        <v>0</v>
      </c>
      <c r="AF9" s="38">
        <f ca="1">IFERROR(IF(VLOOKUP($A9,Tasks!$X$4:$AC$30,COLUMN(Tasks!$Y$4)-COLUMN(Tasks!$X$4)+1,FALSE)&gt;0,1,0),0)</f>
        <v>0</v>
      </c>
      <c r="AG9" s="39">
        <f ca="1">IF(AF9,IFERROR(VLOOKUP($A9,Tasks!$X$4:$AC$30,COLUMN(Tasks!$Y$4)-COLUMN(Tasks!$X$4)+1,FALSE),0),U9)</f>
        <v>0</v>
      </c>
      <c r="AH9" s="39">
        <f ca="1">IF(AF9,IFERROR(VLOOKUP($A9,Tasks!$X$4:$AC$30,COLUMN(Tasks!$AB$4)-COLUMN(Tasks!$X$4)+1,FALSE),0),Y9)</f>
        <v>0</v>
      </c>
      <c r="AI9" s="39">
        <f ca="1">IF(AF9,IFERROR(VLOOKUP($A9,Tasks!$X$4:$AC$30,COLUMN(Tasks!$AC$4)-COLUMN(Tasks!$X$4)+1,FALSE),0),Z9)</f>
        <v>0</v>
      </c>
      <c r="AJ9" s="31"/>
      <c r="AK9" s="23"/>
      <c r="AL9" s="22"/>
      <c r="AM9" s="22" t="s">
        <v>39</v>
      </c>
      <c r="AN9" s="23"/>
      <c r="AO9" s="18"/>
      <c r="AP9" s="23"/>
      <c r="AQ9" s="23"/>
    </row>
    <row r="10" spans="1:44" ht="90" x14ac:dyDescent="0.2">
      <c r="A10" s="20"/>
      <c r="B10" s="21"/>
      <c r="C10" s="36">
        <f t="shared" ca="1" si="0"/>
        <v>0</v>
      </c>
      <c r="D10" s="37" t="str">
        <f>CONCATENATE(Parameters!$B$2,F10,CHAR(10),Parameters!$B$3,G10,CHAR(10),Parameters!$B$4,H10)</f>
        <v xml:space="preserve">GIVEN you are logged in as test lead, local editor, master editor
WHEN chosing to edit a test case
THEN You should be able to edit data and save the test case.
Test case will get a new version.
The change will be logged(who and when).
</v>
      </c>
      <c r="E10" s="21"/>
      <c r="F10" s="22" t="s">
        <v>102</v>
      </c>
      <c r="G10" s="22" t="s">
        <v>105</v>
      </c>
      <c r="H10" s="22" t="s">
        <v>134</v>
      </c>
      <c r="I10" s="21"/>
      <c r="J10" s="21" t="s">
        <v>88</v>
      </c>
      <c r="K10" s="22"/>
      <c r="L10" s="22" t="s">
        <v>106</v>
      </c>
      <c r="M10" s="22" t="s">
        <v>132</v>
      </c>
      <c r="N10" s="28"/>
      <c r="O10" s="21"/>
      <c r="P10" s="30"/>
      <c r="Q10" s="22"/>
      <c r="R10" s="22"/>
      <c r="S10" s="22"/>
      <c r="T10" s="83"/>
      <c r="U10" s="86">
        <f t="shared" si="1"/>
        <v>0</v>
      </c>
      <c r="V10" s="86">
        <f t="shared" si="9"/>
        <v>0</v>
      </c>
      <c r="W10" s="87">
        <f t="shared" si="2"/>
        <v>0</v>
      </c>
      <c r="X10" s="87">
        <f t="shared" si="3"/>
        <v>0</v>
      </c>
      <c r="Y10" s="36">
        <f t="shared" si="4"/>
        <v>0</v>
      </c>
      <c r="Z10" s="36">
        <f t="shared" si="5"/>
        <v>0</v>
      </c>
      <c r="AA10" s="89">
        <f t="shared" ca="1" si="10"/>
        <v>0</v>
      </c>
      <c r="AB10" s="89">
        <f>SQRT(SUM(X$6:X10))</f>
        <v>0</v>
      </c>
      <c r="AC10" s="89">
        <f t="shared" ca="1" si="6"/>
        <v>0</v>
      </c>
      <c r="AD10" s="42">
        <f t="shared" si="7"/>
        <v>0</v>
      </c>
      <c r="AE10" s="42">
        <f t="shared" si="8"/>
        <v>0</v>
      </c>
      <c r="AF10" s="38">
        <f ca="1">IFERROR(IF(VLOOKUP($A10,Tasks!$X$4:$AC$30,COLUMN(Tasks!$Y$4)-COLUMN(Tasks!$X$4)+1,FALSE)&gt;0,1,0),0)</f>
        <v>0</v>
      </c>
      <c r="AG10" s="39">
        <f ca="1">IF(AF10,IFERROR(VLOOKUP($A10,Tasks!$X$4:$AC$30,COLUMN(Tasks!$Y$4)-COLUMN(Tasks!$X$4)+1,FALSE),0),U10)</f>
        <v>0</v>
      </c>
      <c r="AH10" s="39">
        <f ca="1">IF(AF10,IFERROR(VLOOKUP($A10,Tasks!$X$4:$AC$30,COLUMN(Tasks!$AB$4)-COLUMN(Tasks!$X$4)+1,FALSE),0),Y10)</f>
        <v>0</v>
      </c>
      <c r="AI10" s="39">
        <f ca="1">IF(AF10,IFERROR(VLOOKUP($A10,Tasks!$X$4:$AC$30,COLUMN(Tasks!$AC$4)-COLUMN(Tasks!$X$4)+1,FALSE),0),Z10)</f>
        <v>0</v>
      </c>
      <c r="AJ10" s="18"/>
      <c r="AK10" s="22"/>
      <c r="AL10" s="22"/>
      <c r="AM10" s="22" t="s">
        <v>39</v>
      </c>
      <c r="AN10" s="22"/>
      <c r="AO10" s="18"/>
      <c r="AP10" s="22"/>
      <c r="AQ10" s="22"/>
    </row>
    <row r="11" spans="1:44" ht="45" x14ac:dyDescent="0.2">
      <c r="A11" s="20"/>
      <c r="B11" s="21"/>
      <c r="C11" s="36">
        <f t="shared" ca="1" si="0"/>
        <v>0</v>
      </c>
      <c r="D11" s="37" t="str">
        <f>CONCATENATE(Parameters!$B$2,F11,CHAR(10),Parameters!$B$3,G11,CHAR(10),Parameters!$B$4,H11)</f>
        <v>GIVEN you are logged in to the system
WHEN chosing to view a test case
THEN You should be able to see the data connected to the test case</v>
      </c>
      <c r="E11" s="21"/>
      <c r="F11" s="22" t="s">
        <v>107</v>
      </c>
      <c r="G11" s="22" t="s">
        <v>109</v>
      </c>
      <c r="H11" s="22" t="s">
        <v>108</v>
      </c>
      <c r="I11" s="21"/>
      <c r="J11" s="21" t="s">
        <v>88</v>
      </c>
      <c r="K11" s="22"/>
      <c r="L11" s="22" t="s">
        <v>110</v>
      </c>
      <c r="M11" s="22" t="s">
        <v>132</v>
      </c>
      <c r="N11" s="28"/>
      <c r="O11" s="21"/>
      <c r="P11" s="30"/>
      <c r="Q11" s="22"/>
      <c r="R11" s="22"/>
      <c r="S11" s="22"/>
      <c r="T11" s="83"/>
      <c r="U11" s="86">
        <f t="shared" si="1"/>
        <v>0</v>
      </c>
      <c r="V11" s="86">
        <f t="shared" si="9"/>
        <v>0</v>
      </c>
      <c r="W11" s="87">
        <f t="shared" si="2"/>
        <v>0</v>
      </c>
      <c r="X11" s="87">
        <f t="shared" si="3"/>
        <v>0</v>
      </c>
      <c r="Y11" s="36">
        <f t="shared" si="4"/>
        <v>0</v>
      </c>
      <c r="Z11" s="36">
        <f t="shared" si="5"/>
        <v>0</v>
      </c>
      <c r="AA11" s="89">
        <f t="shared" ca="1" si="10"/>
        <v>0</v>
      </c>
      <c r="AB11" s="89">
        <f>SQRT(SUM(X$6:X11))</f>
        <v>0</v>
      </c>
      <c r="AC11" s="89">
        <f t="shared" ca="1" si="6"/>
        <v>0</v>
      </c>
      <c r="AD11" s="42">
        <f t="shared" si="7"/>
        <v>0</v>
      </c>
      <c r="AE11" s="42">
        <f t="shared" si="8"/>
        <v>0</v>
      </c>
      <c r="AF11" s="38">
        <f ca="1">IFERROR(IF(VLOOKUP($A11,Tasks!$X$4:$AC$30,COLUMN(Tasks!$Y$4)-COLUMN(Tasks!$X$4)+1,FALSE)&gt;0,1,0),0)</f>
        <v>0</v>
      </c>
      <c r="AG11" s="39">
        <f ca="1">IF(AF11,IFERROR(VLOOKUP($A11,Tasks!$X$4:$AC$30,COLUMN(Tasks!$Y$4)-COLUMN(Tasks!$X$4)+1,FALSE),0),U11)</f>
        <v>0</v>
      </c>
      <c r="AH11" s="39">
        <f ca="1">IF(AF11,IFERROR(VLOOKUP($A11,Tasks!$X$4:$AC$30,COLUMN(Tasks!$AB$4)-COLUMN(Tasks!$X$4)+1,FALSE),0),Y11)</f>
        <v>0</v>
      </c>
      <c r="AI11" s="39">
        <f ca="1">IF(AF11,IFERROR(VLOOKUP($A11,Tasks!$X$4:$AC$30,COLUMN(Tasks!$AC$4)-COLUMN(Tasks!$X$4)+1,FALSE),0),Z11)</f>
        <v>0</v>
      </c>
      <c r="AJ11" s="18"/>
      <c r="AK11" s="22"/>
      <c r="AL11" s="22"/>
      <c r="AM11" s="22" t="s">
        <v>39</v>
      </c>
      <c r="AN11" s="22"/>
      <c r="AO11" s="18"/>
      <c r="AP11" s="22"/>
      <c r="AQ11" s="22"/>
    </row>
    <row r="12" spans="1:44" ht="78.75" x14ac:dyDescent="0.2">
      <c r="A12" s="20"/>
      <c r="B12" s="21"/>
      <c r="C12" s="36">
        <f t="shared" ca="1" si="0"/>
        <v>0</v>
      </c>
      <c r="D12" s="37" t="str">
        <f>CONCATENATE(Parameters!$B$2,F12,CHAR(10),Parameters!$B$3,G12,CHAR(10),Parameters!$B$4,H12)</f>
        <v>GIVEN You are logged in as Master editor to the system
WHEN selecting multiple test cases for editing
THEN You should be able to sort and select test cases and replace words in description and expected results for the selected test cases  or add or remove variants\product classes</v>
      </c>
      <c r="E12" s="20" t="s">
        <v>111</v>
      </c>
      <c r="F12" s="22" t="s">
        <v>112</v>
      </c>
      <c r="G12" s="22" t="s">
        <v>135</v>
      </c>
      <c r="H12" s="22" t="s">
        <v>136</v>
      </c>
      <c r="I12" s="21"/>
      <c r="J12" s="21" t="s">
        <v>88</v>
      </c>
      <c r="K12" s="22"/>
      <c r="L12" s="22"/>
      <c r="M12" s="22" t="s">
        <v>132</v>
      </c>
      <c r="N12" s="28"/>
      <c r="O12" s="21"/>
      <c r="P12" s="30" t="s">
        <v>144</v>
      </c>
      <c r="Q12" s="22"/>
      <c r="R12" s="22"/>
      <c r="S12" s="22"/>
      <c r="T12" s="83"/>
      <c r="U12" s="86">
        <f t="shared" si="1"/>
        <v>0</v>
      </c>
      <c r="V12" s="86">
        <f t="shared" si="9"/>
        <v>0</v>
      </c>
      <c r="W12" s="87">
        <f t="shared" si="2"/>
        <v>0</v>
      </c>
      <c r="X12" s="87">
        <f t="shared" si="3"/>
        <v>0</v>
      </c>
      <c r="Y12" s="36">
        <f t="shared" si="4"/>
        <v>0</v>
      </c>
      <c r="Z12" s="36">
        <f t="shared" si="5"/>
        <v>0</v>
      </c>
      <c r="AA12" s="89">
        <f t="shared" ca="1" si="10"/>
        <v>0</v>
      </c>
      <c r="AB12" s="89">
        <f>SQRT(SUM(X$6:X12))</f>
        <v>0</v>
      </c>
      <c r="AC12" s="89">
        <f t="shared" ca="1" si="6"/>
        <v>0</v>
      </c>
      <c r="AD12" s="42">
        <f t="shared" si="7"/>
        <v>0</v>
      </c>
      <c r="AE12" s="42">
        <f t="shared" si="8"/>
        <v>0</v>
      </c>
      <c r="AF12" s="38">
        <f ca="1">IFERROR(IF(VLOOKUP($A12,Tasks!$X$4:$AC$30,COLUMN(Tasks!$Y$4)-COLUMN(Tasks!$X$4)+1,FALSE)&gt;0,1,0),0)</f>
        <v>0</v>
      </c>
      <c r="AG12" s="39">
        <f ca="1">IF(AF12,IFERROR(VLOOKUP($A12,Tasks!$X$4:$AC$30,COLUMN(Tasks!$Y$4)-COLUMN(Tasks!$X$4)+1,FALSE),0),U12)</f>
        <v>0</v>
      </c>
      <c r="AH12" s="39">
        <f ca="1">IF(AF12,IFERROR(VLOOKUP($A12,Tasks!$X$4:$AC$30,COLUMN(Tasks!$AB$4)-COLUMN(Tasks!$X$4)+1,FALSE),0),Y12)</f>
        <v>0</v>
      </c>
      <c r="AI12" s="39">
        <f ca="1">IF(AF12,IFERROR(VLOOKUP($A12,Tasks!$X$4:$AC$30,COLUMN(Tasks!$AC$4)-COLUMN(Tasks!$X$4)+1,FALSE),0),Z12)</f>
        <v>0</v>
      </c>
      <c r="AJ12" s="18"/>
      <c r="AK12" s="22"/>
      <c r="AL12" s="22"/>
      <c r="AM12" s="22" t="s">
        <v>39</v>
      </c>
      <c r="AN12" s="22"/>
      <c r="AO12" s="18"/>
      <c r="AP12" s="22"/>
      <c r="AQ12" s="22"/>
    </row>
    <row r="13" spans="1:44" ht="67.5" x14ac:dyDescent="0.2">
      <c r="A13" s="20"/>
      <c r="B13" s="21"/>
      <c r="C13" s="36">
        <f t="shared" ca="1" si="0"/>
        <v>0</v>
      </c>
      <c r="D13" s="37" t="str">
        <f>CONCATENATE(Parameters!$B$2,F13,CHAR(10),Parameters!$B$3,G13,CHAR(10),Parameters!$B$4,H13)</f>
        <v>GIVEN You are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E13" s="21" t="s">
        <v>111</v>
      </c>
      <c r="F13" s="22" t="s">
        <v>112</v>
      </c>
      <c r="G13" s="22" t="s">
        <v>115</v>
      </c>
      <c r="H13" s="22" t="s">
        <v>113</v>
      </c>
      <c r="I13" s="21"/>
      <c r="J13" s="21" t="s">
        <v>88</v>
      </c>
      <c r="K13" s="22"/>
      <c r="L13" s="22"/>
      <c r="M13" s="22" t="s">
        <v>132</v>
      </c>
      <c r="N13" s="28"/>
      <c r="O13" s="21"/>
      <c r="P13" s="30" t="s">
        <v>143</v>
      </c>
      <c r="Q13" s="22"/>
      <c r="R13" s="22"/>
      <c r="S13" s="22"/>
      <c r="T13" s="83"/>
      <c r="U13" s="86">
        <f t="shared" si="1"/>
        <v>0</v>
      </c>
      <c r="V13" s="86">
        <f t="shared" si="9"/>
        <v>0</v>
      </c>
      <c r="W13" s="87">
        <f t="shared" si="2"/>
        <v>0</v>
      </c>
      <c r="X13" s="87">
        <f t="shared" si="3"/>
        <v>0</v>
      </c>
      <c r="Y13" s="36">
        <f t="shared" si="4"/>
        <v>0</v>
      </c>
      <c r="Z13" s="36">
        <f t="shared" si="5"/>
        <v>0</v>
      </c>
      <c r="AA13" s="89">
        <f t="shared" ca="1" si="10"/>
        <v>0</v>
      </c>
      <c r="AB13" s="89">
        <f>SQRT(SUM(X$6:X13))</f>
        <v>0</v>
      </c>
      <c r="AC13" s="89">
        <f t="shared" ca="1" si="6"/>
        <v>0</v>
      </c>
      <c r="AD13" s="42">
        <f t="shared" si="7"/>
        <v>0</v>
      </c>
      <c r="AE13" s="42">
        <f t="shared" si="8"/>
        <v>0</v>
      </c>
      <c r="AF13" s="38">
        <f ca="1">IFERROR(IF(VLOOKUP($A13,Tasks!$X$4:$AC$30,COLUMN(Tasks!$Y$4)-COLUMN(Tasks!$X$4)+1,FALSE)&gt;0,1,0),0)</f>
        <v>0</v>
      </c>
      <c r="AG13" s="39">
        <f ca="1">IF(AF13,IFERROR(VLOOKUP($A13,Tasks!$X$4:$AC$30,COLUMN(Tasks!$Y$4)-COLUMN(Tasks!$X$4)+1,FALSE),0),U13)</f>
        <v>0</v>
      </c>
      <c r="AH13" s="39">
        <f ca="1">IF(AF13,IFERROR(VLOOKUP($A13,Tasks!$X$4:$AC$30,COLUMN(Tasks!$AB$4)-COLUMN(Tasks!$X$4)+1,FALSE),0),Y13)</f>
        <v>0</v>
      </c>
      <c r="AI13" s="39">
        <f ca="1">IF(AF13,IFERROR(VLOOKUP($A13,Tasks!$X$4:$AC$30,COLUMN(Tasks!$AC$4)-COLUMN(Tasks!$X$4)+1,FALSE),0),Z13)</f>
        <v>0</v>
      </c>
      <c r="AJ13" s="18"/>
      <c r="AK13" s="22"/>
      <c r="AL13" s="22"/>
      <c r="AM13" s="22" t="s">
        <v>39</v>
      </c>
      <c r="AN13" s="22"/>
      <c r="AO13" s="18"/>
      <c r="AP13" s="22"/>
      <c r="AQ13" s="22"/>
    </row>
    <row r="14" spans="1:44" ht="56.25" x14ac:dyDescent="0.2">
      <c r="A14" s="20"/>
      <c r="B14" s="21"/>
      <c r="C14" s="36">
        <f t="shared" ca="1" si="0"/>
        <v>0</v>
      </c>
      <c r="D14" s="37" t="str">
        <f>CONCATENATE(Parameters!$B$2,F14,CHAR(10),Parameters!$B$3,G14,CHAR(10),Parameters!$B$4,H14)</f>
        <v>GIVEN You are logged in as Master editor to the system
WHEN Chosing a test sequence or a test case
THEN You should be able to see when test sequence or tests within the sequence were latest used. (This is needed to be able to sort\hide or remove test cases).</v>
      </c>
      <c r="E14" s="21" t="s">
        <v>111</v>
      </c>
      <c r="F14" s="22" t="s">
        <v>112</v>
      </c>
      <c r="G14" s="22" t="s">
        <v>114</v>
      </c>
      <c r="H14" s="22" t="s">
        <v>121</v>
      </c>
      <c r="I14" s="21"/>
      <c r="J14" s="21" t="s">
        <v>88</v>
      </c>
      <c r="K14" s="22"/>
      <c r="L14" s="22"/>
      <c r="M14" s="22"/>
      <c r="N14" s="28"/>
      <c r="O14" s="21"/>
      <c r="P14" s="30" t="s">
        <v>142</v>
      </c>
      <c r="Q14" s="22"/>
      <c r="R14" s="22"/>
      <c r="S14" s="22"/>
      <c r="T14" s="83"/>
      <c r="U14" s="86">
        <f t="shared" si="1"/>
        <v>0</v>
      </c>
      <c r="V14" s="86">
        <f t="shared" si="9"/>
        <v>0</v>
      </c>
      <c r="W14" s="87">
        <f t="shared" si="2"/>
        <v>0</v>
      </c>
      <c r="X14" s="87">
        <f t="shared" si="3"/>
        <v>0</v>
      </c>
      <c r="Y14" s="36">
        <f t="shared" si="4"/>
        <v>0</v>
      </c>
      <c r="Z14" s="36">
        <f t="shared" si="5"/>
        <v>0</v>
      </c>
      <c r="AA14" s="89">
        <f t="shared" ca="1" si="10"/>
        <v>0</v>
      </c>
      <c r="AB14" s="89">
        <f>SQRT(SUM(X$6:X14))</f>
        <v>0</v>
      </c>
      <c r="AC14" s="89">
        <f t="shared" ca="1" si="6"/>
        <v>0</v>
      </c>
      <c r="AD14" s="42">
        <f t="shared" si="7"/>
        <v>0</v>
      </c>
      <c r="AE14" s="42">
        <f t="shared" si="8"/>
        <v>0</v>
      </c>
      <c r="AF14" s="38">
        <f ca="1">IFERROR(IF(VLOOKUP($A14,Tasks!$X$4:$AC$30,COLUMN(Tasks!$Y$4)-COLUMN(Tasks!$X$4)+1,FALSE)&gt;0,1,0),0)</f>
        <v>0</v>
      </c>
      <c r="AG14" s="39">
        <f ca="1">IF(AF14,IFERROR(VLOOKUP($A14,Tasks!$X$4:$AC$30,COLUMN(Tasks!$Y$4)-COLUMN(Tasks!$X$4)+1,FALSE),0),U14)</f>
        <v>0</v>
      </c>
      <c r="AH14" s="39">
        <f ca="1">IF(AF14,IFERROR(VLOOKUP($A14,Tasks!$X$4:$AC$30,COLUMN(Tasks!$AB$4)-COLUMN(Tasks!$X$4)+1,FALSE),0),Y14)</f>
        <v>0</v>
      </c>
      <c r="AI14" s="39">
        <f ca="1">IF(AF14,IFERROR(VLOOKUP($A14,Tasks!$X$4:$AC$30,COLUMN(Tasks!$AC$4)-COLUMN(Tasks!$X$4)+1,FALSE),0),Z14)</f>
        <v>0</v>
      </c>
      <c r="AJ14" s="18"/>
      <c r="AK14" s="22"/>
      <c r="AL14" s="22"/>
      <c r="AM14" s="22" t="s">
        <v>39</v>
      </c>
      <c r="AN14" s="22"/>
      <c r="AO14" s="18"/>
      <c r="AP14" s="22"/>
      <c r="AQ14" s="22"/>
    </row>
    <row r="15" spans="1:44" ht="56.25" x14ac:dyDescent="0.2">
      <c r="A15" s="20"/>
      <c r="B15" s="21"/>
      <c r="C15" s="36">
        <f t="shared" ca="1" si="0"/>
        <v>0</v>
      </c>
      <c r="D15" s="37" t="str">
        <f>CONCATENATE(Parameters!$B$2,F15,CHAR(10),Parameters!$B$3,G15,CHAR(10),Parameters!$B$4,H15)</f>
        <v>GIVEN You are logged in as Master editor to the system
WHEN When updating a test case creating a new version
THEN You should be able to address owners of custom test sequence about the change through the system. Be able to send out a  notice or similar.</v>
      </c>
      <c r="E15" s="21" t="s">
        <v>111</v>
      </c>
      <c r="F15" s="22" t="s">
        <v>112</v>
      </c>
      <c r="G15" s="22" t="s">
        <v>116</v>
      </c>
      <c r="H15" s="22" t="s">
        <v>138</v>
      </c>
      <c r="I15" s="21"/>
      <c r="J15" s="21" t="s">
        <v>88</v>
      </c>
      <c r="K15" s="22"/>
      <c r="L15" s="22"/>
      <c r="M15" s="22"/>
      <c r="N15" s="28"/>
      <c r="O15" s="21"/>
      <c r="P15" s="30" t="s">
        <v>141</v>
      </c>
      <c r="Q15" s="22"/>
      <c r="R15" s="22"/>
      <c r="S15" s="22"/>
      <c r="T15" s="83"/>
      <c r="U15" s="86">
        <f t="shared" si="1"/>
        <v>0</v>
      </c>
      <c r="V15" s="86">
        <f t="shared" si="9"/>
        <v>0</v>
      </c>
      <c r="W15" s="87">
        <f t="shared" si="2"/>
        <v>0</v>
      </c>
      <c r="X15" s="87">
        <f t="shared" si="3"/>
        <v>0</v>
      </c>
      <c r="Y15" s="36">
        <f t="shared" si="4"/>
        <v>0</v>
      </c>
      <c r="Z15" s="36">
        <f t="shared" si="5"/>
        <v>0</v>
      </c>
      <c r="AA15" s="89">
        <f t="shared" ca="1" si="10"/>
        <v>0</v>
      </c>
      <c r="AB15" s="89">
        <f>SQRT(SUM(X$6:X15))</f>
        <v>0</v>
      </c>
      <c r="AC15" s="89">
        <f t="shared" ca="1" si="6"/>
        <v>0</v>
      </c>
      <c r="AD15" s="42">
        <f t="shared" si="7"/>
        <v>0</v>
      </c>
      <c r="AE15" s="42">
        <f t="shared" si="8"/>
        <v>0</v>
      </c>
      <c r="AF15" s="38">
        <f ca="1">IFERROR(IF(VLOOKUP($A15,Tasks!$X$4:$AC$30,COLUMN(Tasks!$Y$4)-COLUMN(Tasks!$X$4)+1,FALSE)&gt;0,1,0),0)</f>
        <v>0</v>
      </c>
      <c r="AG15" s="39">
        <f ca="1">IF(AF15,IFERROR(VLOOKUP($A15,Tasks!$X$4:$AC$30,COLUMN(Tasks!$Y$4)-COLUMN(Tasks!$X$4)+1,FALSE),0),U15)</f>
        <v>0</v>
      </c>
      <c r="AH15" s="39">
        <f ca="1">IF(AF15,IFERROR(VLOOKUP($A15,Tasks!$X$4:$AC$30,COLUMN(Tasks!$AB$4)-COLUMN(Tasks!$X$4)+1,FALSE),0),Y15)</f>
        <v>0</v>
      </c>
      <c r="AI15" s="39">
        <f ca="1">IF(AF15,IFERROR(VLOOKUP($A15,Tasks!$X$4:$AC$30,COLUMN(Tasks!$AC$4)-COLUMN(Tasks!$X$4)+1,FALSE),0),Z15)</f>
        <v>0</v>
      </c>
      <c r="AJ15" s="18"/>
      <c r="AK15" s="22"/>
      <c r="AL15" s="22"/>
      <c r="AM15" s="22" t="s">
        <v>39</v>
      </c>
      <c r="AN15" s="22"/>
      <c r="AO15" s="18"/>
      <c r="AP15" s="22"/>
      <c r="AQ15" s="22"/>
    </row>
    <row r="16" spans="1:44" ht="46.5" customHeight="1" x14ac:dyDescent="0.2">
      <c r="A16" s="20"/>
      <c r="B16" s="21"/>
      <c r="C16" s="36">
        <f t="shared" ca="1" si="0"/>
        <v>0</v>
      </c>
      <c r="D16" s="37" t="str">
        <f>CONCATENATE(Parameters!$B$2,F16,CHAR(10),Parameters!$B$3,G16,CHAR(10),Parameters!$B$4,H16)</f>
        <v xml:space="preserve">GIVEN You are logged in as Master editor to the system
WHEN 
THEN </v>
      </c>
      <c r="E16" s="21" t="s">
        <v>111</v>
      </c>
      <c r="F16" s="22" t="s">
        <v>112</v>
      </c>
      <c r="G16" s="22"/>
      <c r="H16" s="22"/>
      <c r="I16" s="21"/>
      <c r="J16" s="21" t="s">
        <v>88</v>
      </c>
      <c r="K16" s="22"/>
      <c r="L16" s="22"/>
      <c r="M16" s="22"/>
      <c r="N16" s="28"/>
      <c r="O16" s="21"/>
      <c r="P16" s="30" t="s">
        <v>145</v>
      </c>
      <c r="Q16" s="22"/>
      <c r="R16" s="22"/>
      <c r="S16" s="22"/>
      <c r="T16" s="83"/>
      <c r="U16" s="86">
        <f t="shared" si="1"/>
        <v>0</v>
      </c>
      <c r="V16" s="86">
        <f t="shared" si="9"/>
        <v>0</v>
      </c>
      <c r="W16" s="87">
        <f t="shared" si="2"/>
        <v>0</v>
      </c>
      <c r="X16" s="87">
        <f t="shared" si="3"/>
        <v>0</v>
      </c>
      <c r="Y16" s="36">
        <f t="shared" si="4"/>
        <v>0</v>
      </c>
      <c r="Z16" s="36">
        <f t="shared" si="5"/>
        <v>0</v>
      </c>
      <c r="AA16" s="89">
        <f t="shared" ca="1" si="10"/>
        <v>0</v>
      </c>
      <c r="AB16" s="89">
        <f>SQRT(SUM(X$6:X16))</f>
        <v>0</v>
      </c>
      <c r="AC16" s="89">
        <f t="shared" ca="1" si="6"/>
        <v>0</v>
      </c>
      <c r="AD16" s="42">
        <f t="shared" si="7"/>
        <v>0</v>
      </c>
      <c r="AE16" s="42">
        <f t="shared" si="8"/>
        <v>0</v>
      </c>
      <c r="AF16" s="38">
        <f ca="1">IFERROR(IF(VLOOKUP($A16,Tasks!$X$4:$AC$30,COLUMN(Tasks!$Y$4)-COLUMN(Tasks!$X$4)+1,FALSE)&gt;0,1,0),0)</f>
        <v>0</v>
      </c>
      <c r="AG16" s="39">
        <f ca="1">IF(AF16,IFERROR(VLOOKUP($A16,Tasks!$X$4:$AC$30,COLUMN(Tasks!$Y$4)-COLUMN(Tasks!$X$4)+1,FALSE),0),U16)</f>
        <v>0</v>
      </c>
      <c r="AH16" s="39">
        <f ca="1">IF(AF16,IFERROR(VLOOKUP($A16,Tasks!$X$4:$AC$30,COLUMN(Tasks!$AB$4)-COLUMN(Tasks!$X$4)+1,FALSE),0),Y16)</f>
        <v>0</v>
      </c>
      <c r="AI16" s="39">
        <f ca="1">IF(AF16,IFERROR(VLOOKUP($A16,Tasks!$X$4:$AC$30,COLUMN(Tasks!$AC$4)-COLUMN(Tasks!$X$4)+1,FALSE),0),Z16)</f>
        <v>0</v>
      </c>
      <c r="AJ16" s="18"/>
      <c r="AK16" s="22"/>
      <c r="AL16" s="22"/>
      <c r="AM16" s="22" t="s">
        <v>39</v>
      </c>
      <c r="AN16" s="22"/>
      <c r="AO16" s="18"/>
      <c r="AP16" s="22"/>
      <c r="AQ16" s="22"/>
    </row>
    <row r="17" spans="1:43" ht="56.25" x14ac:dyDescent="0.2">
      <c r="A17" s="20"/>
      <c r="B17" s="21"/>
      <c r="C17" s="36">
        <f t="shared" ca="1" si="0"/>
        <v>0</v>
      </c>
      <c r="D17" s="37" t="str">
        <f>CONCATENATE(Parameters!$B$2,F17,CHAR(10),Parameters!$B$3,G17,CHAR(10),Parameters!$B$4,H17)</f>
        <v>GIVEN You are logged in as Master editor to the system
WHEN You should be able to search test cases for different categories(truck functions).
THEN Should be possible to view test cases for different categories (truck functions)</v>
      </c>
      <c r="E17" s="21" t="s">
        <v>111</v>
      </c>
      <c r="F17" s="22" t="s">
        <v>112</v>
      </c>
      <c r="G17" s="22" t="s">
        <v>122</v>
      </c>
      <c r="H17" s="22" t="s">
        <v>117</v>
      </c>
      <c r="I17" s="21"/>
      <c r="J17" s="21" t="s">
        <v>88</v>
      </c>
      <c r="K17" s="22"/>
      <c r="L17" s="22"/>
      <c r="M17" s="22"/>
      <c r="N17" s="28"/>
      <c r="O17" s="21"/>
      <c r="P17" s="30" t="s">
        <v>139</v>
      </c>
      <c r="Q17" s="22"/>
      <c r="R17" s="22"/>
      <c r="S17" s="22"/>
      <c r="T17" s="83"/>
      <c r="U17" s="86">
        <f t="shared" si="1"/>
        <v>0</v>
      </c>
      <c r="V17" s="86">
        <f t="shared" si="9"/>
        <v>0</v>
      </c>
      <c r="W17" s="87">
        <f t="shared" si="2"/>
        <v>0</v>
      </c>
      <c r="X17" s="87">
        <f t="shared" si="3"/>
        <v>0</v>
      </c>
      <c r="Y17" s="36">
        <f t="shared" si="4"/>
        <v>0</v>
      </c>
      <c r="Z17" s="36">
        <f t="shared" si="5"/>
        <v>0</v>
      </c>
      <c r="AA17" s="89">
        <f t="shared" ca="1" si="10"/>
        <v>0</v>
      </c>
      <c r="AB17" s="89">
        <f>SQRT(SUM(X$6:X17))</f>
        <v>0</v>
      </c>
      <c r="AC17" s="89">
        <f t="shared" ca="1" si="6"/>
        <v>0</v>
      </c>
      <c r="AD17" s="42">
        <f t="shared" si="7"/>
        <v>0</v>
      </c>
      <c r="AE17" s="42">
        <f t="shared" si="8"/>
        <v>0</v>
      </c>
      <c r="AF17" s="38">
        <f ca="1">IFERROR(IF(VLOOKUP($A17,Tasks!$X$4:$AC$30,COLUMN(Tasks!$Y$4)-COLUMN(Tasks!$X$4)+1,FALSE)&gt;0,1,0),0)</f>
        <v>0</v>
      </c>
      <c r="AG17" s="39">
        <f ca="1">IF(AF17,IFERROR(VLOOKUP($A17,Tasks!$X$4:$AC$30,COLUMN(Tasks!$Y$4)-COLUMN(Tasks!$X$4)+1,FALSE),0),U17)</f>
        <v>0</v>
      </c>
      <c r="AH17" s="39">
        <f ca="1">IF(AF17,IFERROR(VLOOKUP($A17,Tasks!$X$4:$AC$30,COLUMN(Tasks!$AB$4)-COLUMN(Tasks!$X$4)+1,FALSE),0),Y17)</f>
        <v>0</v>
      </c>
      <c r="AI17" s="39">
        <f ca="1">IF(AF17,IFERROR(VLOOKUP($A17,Tasks!$X$4:$AC$30,COLUMN(Tasks!$AC$4)-COLUMN(Tasks!$X$4)+1,FALSE),0),Z17)</f>
        <v>0</v>
      </c>
      <c r="AJ17" s="18"/>
      <c r="AK17" s="22"/>
      <c r="AL17" s="22"/>
      <c r="AM17" s="22" t="s">
        <v>39</v>
      </c>
      <c r="AN17" s="22"/>
      <c r="AO17" s="18"/>
      <c r="AP17" s="22"/>
      <c r="AQ17" s="22"/>
    </row>
    <row r="18" spans="1:43" ht="56.25" x14ac:dyDescent="0.2">
      <c r="A18" s="20"/>
      <c r="B18" s="21"/>
      <c r="C18" s="36">
        <f t="shared" ca="1" si="0"/>
        <v>0</v>
      </c>
      <c r="D18" s="37" t="str">
        <f>CONCATENATE(Parameters!$B$2,F18,CHAR(10),Parameters!$B$3,G18,CHAR(10),Parameters!$B$4,H18)</f>
        <v>GIVEN You are logged in as Local editor to the system
WHEN When chosing to view test cases
THEN You should have an easy overview of test cases and a possibility to easily extract or share the data with people with no access to the system</v>
      </c>
      <c r="E18" s="21" t="s">
        <v>111</v>
      </c>
      <c r="F18" s="22" t="s">
        <v>118</v>
      </c>
      <c r="G18" s="22" t="s">
        <v>119</v>
      </c>
      <c r="H18" s="22" t="s">
        <v>120</v>
      </c>
      <c r="I18" s="21"/>
      <c r="J18" s="21" t="s">
        <v>88</v>
      </c>
      <c r="K18" s="22"/>
      <c r="L18" s="22"/>
      <c r="M18" s="22"/>
      <c r="N18" s="28"/>
      <c r="O18" s="21"/>
      <c r="P18" s="30" t="s">
        <v>140</v>
      </c>
      <c r="Q18" s="22"/>
      <c r="R18" s="22"/>
      <c r="S18" s="22"/>
      <c r="T18" s="83"/>
      <c r="U18" s="86">
        <f t="shared" si="1"/>
        <v>0</v>
      </c>
      <c r="V18" s="86">
        <f t="shared" si="9"/>
        <v>0</v>
      </c>
      <c r="W18" s="87">
        <f t="shared" si="2"/>
        <v>0</v>
      </c>
      <c r="X18" s="87">
        <f t="shared" si="3"/>
        <v>0</v>
      </c>
      <c r="Y18" s="36">
        <f t="shared" si="4"/>
        <v>0</v>
      </c>
      <c r="Z18" s="36">
        <f t="shared" si="5"/>
        <v>0</v>
      </c>
      <c r="AA18" s="89">
        <f t="shared" ca="1" si="10"/>
        <v>0</v>
      </c>
      <c r="AB18" s="89">
        <f>SQRT(SUM(X$6:X18))</f>
        <v>0</v>
      </c>
      <c r="AC18" s="89">
        <f t="shared" ca="1" si="6"/>
        <v>0</v>
      </c>
      <c r="AD18" s="42">
        <f t="shared" si="7"/>
        <v>0</v>
      </c>
      <c r="AE18" s="42">
        <f t="shared" si="8"/>
        <v>0</v>
      </c>
      <c r="AF18" s="38">
        <f ca="1">IFERROR(IF(VLOOKUP($A18,Tasks!$X$4:$AC$30,COLUMN(Tasks!$Y$4)-COLUMN(Tasks!$X$4)+1,FALSE)&gt;0,1,0),0)</f>
        <v>0</v>
      </c>
      <c r="AG18" s="39">
        <f ca="1">IF(AF18,IFERROR(VLOOKUP($A18,Tasks!$X$4:$AC$30,COLUMN(Tasks!$Y$4)-COLUMN(Tasks!$X$4)+1,FALSE),0),U18)</f>
        <v>0</v>
      </c>
      <c r="AH18" s="39">
        <f ca="1">IF(AF18,IFERROR(VLOOKUP($A18,Tasks!$X$4:$AC$30,COLUMN(Tasks!$AB$4)-COLUMN(Tasks!$X$4)+1,FALSE),0),Y18)</f>
        <v>0</v>
      </c>
      <c r="AI18" s="39">
        <f ca="1">IF(AF18,IFERROR(VLOOKUP($A18,Tasks!$X$4:$AC$30,COLUMN(Tasks!$AC$4)-COLUMN(Tasks!$X$4)+1,FALSE),0),Z18)</f>
        <v>0</v>
      </c>
      <c r="AJ18" s="18"/>
      <c r="AK18" s="22"/>
      <c r="AL18" s="22"/>
      <c r="AM18" s="22" t="s">
        <v>39</v>
      </c>
      <c r="AN18" s="22"/>
      <c r="AO18" s="18"/>
      <c r="AP18" s="22"/>
      <c r="AQ18" s="22"/>
    </row>
    <row r="19" spans="1:43" ht="56.25" x14ac:dyDescent="0.2">
      <c r="A19" s="20"/>
      <c r="B19" s="21"/>
      <c r="C19" s="36">
        <f t="shared" ca="1" si="0"/>
        <v>0</v>
      </c>
      <c r="D19" s="37" t="str">
        <f>CONCATENATE(Parameters!$B$2,F19,CHAR(10),Parameters!$B$3,G19,CHAR(10),Parameters!$B$4,H19)</f>
        <v>GIVEN You are logged in as Local editor to the system
WHEN when  choosing a variant for a specific product class
THEN You should see valid test cases for that variant and product class combination.</v>
      </c>
      <c r="E19" s="21" t="s">
        <v>111</v>
      </c>
      <c r="F19" s="22" t="s">
        <v>118</v>
      </c>
      <c r="G19" s="22" t="s">
        <v>123</v>
      </c>
      <c r="H19" s="22" t="s">
        <v>124</v>
      </c>
      <c r="I19" s="21"/>
      <c r="J19" s="21" t="s">
        <v>88</v>
      </c>
      <c r="K19" s="22"/>
      <c r="L19" s="22"/>
      <c r="M19" s="22"/>
      <c r="N19" s="28"/>
      <c r="O19" s="21"/>
      <c r="P19" s="30"/>
      <c r="Q19" s="22"/>
      <c r="R19" s="22"/>
      <c r="S19" s="22"/>
      <c r="T19" s="83"/>
      <c r="U19" s="86">
        <f t="shared" si="1"/>
        <v>0</v>
      </c>
      <c r="V19" s="86">
        <f t="shared" si="9"/>
        <v>0</v>
      </c>
      <c r="W19" s="87">
        <f t="shared" si="2"/>
        <v>0</v>
      </c>
      <c r="X19" s="87">
        <f t="shared" si="3"/>
        <v>0</v>
      </c>
      <c r="Y19" s="36">
        <f t="shared" si="4"/>
        <v>0</v>
      </c>
      <c r="Z19" s="36">
        <f t="shared" si="5"/>
        <v>0</v>
      </c>
      <c r="AA19" s="89">
        <f t="shared" ca="1" si="10"/>
        <v>0</v>
      </c>
      <c r="AB19" s="89">
        <f>SQRT(SUM(X$6:X19))</f>
        <v>0</v>
      </c>
      <c r="AC19" s="89">
        <f t="shared" ca="1" si="6"/>
        <v>0</v>
      </c>
      <c r="AD19" s="42">
        <f t="shared" si="7"/>
        <v>0</v>
      </c>
      <c r="AE19" s="42">
        <f t="shared" si="8"/>
        <v>0</v>
      </c>
      <c r="AF19" s="38">
        <f ca="1">IFERROR(IF(VLOOKUP($A19,Tasks!$X$4:$AC$30,COLUMN(Tasks!$Y$4)-COLUMN(Tasks!$X$4)+1,FALSE)&gt;0,1,0),0)</f>
        <v>0</v>
      </c>
      <c r="AG19" s="39">
        <f ca="1">IF(AF19,IFERROR(VLOOKUP($A19,Tasks!$X$4:$AC$30,COLUMN(Tasks!$Y$4)-COLUMN(Tasks!$X$4)+1,FALSE),0),U19)</f>
        <v>0</v>
      </c>
      <c r="AH19" s="39">
        <f ca="1">IF(AF19,IFERROR(VLOOKUP($A19,Tasks!$X$4:$AC$30,COLUMN(Tasks!$AB$4)-COLUMN(Tasks!$X$4)+1,FALSE),0),Y19)</f>
        <v>0</v>
      </c>
      <c r="AI19" s="39">
        <f ca="1">IF(AF19,IFERROR(VLOOKUP($A19,Tasks!$X$4:$AC$30,COLUMN(Tasks!$AC$4)-COLUMN(Tasks!$X$4)+1,FALSE),0),Z19)</f>
        <v>0</v>
      </c>
      <c r="AJ19" s="18"/>
      <c r="AK19" s="22"/>
      <c r="AL19" s="22"/>
      <c r="AM19" s="22" t="s">
        <v>39</v>
      </c>
      <c r="AN19" s="22"/>
      <c r="AO19" s="18"/>
      <c r="AP19" s="22"/>
      <c r="AQ19" s="22"/>
    </row>
    <row r="20" spans="1:43" ht="67.5" x14ac:dyDescent="0.2">
      <c r="A20" s="20"/>
      <c r="B20" s="21"/>
      <c r="C20" s="36">
        <f t="shared" ca="1" si="0"/>
        <v>0</v>
      </c>
      <c r="D20" s="37" t="str">
        <f>CONCATENATE(Parameters!$B$2,F20,CHAR(10),Parameters!$B$3,G20,CHAR(10),Parameters!$B$4,H20)</f>
        <v>GIVEN You are logged in as test lead
WHEN when coosing one or more test cases and tag them with predefined tags as( back office, features, testcase version, navigation, raining, snow).  You should be able to add tags to one or more test cases
THEN Test cases should be updated with the tag.</v>
      </c>
      <c r="E20" s="21" t="s">
        <v>111</v>
      </c>
      <c r="F20" s="21" t="s">
        <v>125</v>
      </c>
      <c r="G20" s="22" t="s">
        <v>126</v>
      </c>
      <c r="H20" s="22" t="s">
        <v>127</v>
      </c>
      <c r="I20" s="21"/>
      <c r="J20" s="21" t="s">
        <v>88</v>
      </c>
      <c r="K20" s="22"/>
      <c r="L20" s="22"/>
      <c r="M20" s="22"/>
      <c r="N20" s="28"/>
      <c r="O20" s="21"/>
      <c r="P20" s="30"/>
      <c r="Q20" s="22"/>
      <c r="R20" s="22"/>
      <c r="S20" s="22"/>
      <c r="T20" s="83"/>
      <c r="U20" s="86">
        <f t="shared" si="1"/>
        <v>0</v>
      </c>
      <c r="V20" s="86">
        <f t="shared" si="9"/>
        <v>0</v>
      </c>
      <c r="W20" s="87">
        <f t="shared" si="2"/>
        <v>0</v>
      </c>
      <c r="X20" s="87">
        <f t="shared" si="3"/>
        <v>0</v>
      </c>
      <c r="Y20" s="36">
        <f t="shared" si="4"/>
        <v>0</v>
      </c>
      <c r="Z20" s="36">
        <f t="shared" si="5"/>
        <v>0</v>
      </c>
      <c r="AA20" s="89">
        <f t="shared" ca="1" si="10"/>
        <v>0</v>
      </c>
      <c r="AB20" s="89">
        <f>SQRT(SUM(X$6:X20))</f>
        <v>0</v>
      </c>
      <c r="AC20" s="89">
        <f t="shared" ca="1" si="6"/>
        <v>0</v>
      </c>
      <c r="AD20" s="42">
        <f t="shared" si="7"/>
        <v>0</v>
      </c>
      <c r="AE20" s="42">
        <f t="shared" si="8"/>
        <v>0</v>
      </c>
      <c r="AF20" s="38">
        <f ca="1">IFERROR(IF(VLOOKUP($A20,Tasks!$X$4:$AC$30,COLUMN(Tasks!$Y$4)-COLUMN(Tasks!$X$4)+1,FALSE)&gt;0,1,0),0)</f>
        <v>0</v>
      </c>
      <c r="AG20" s="39">
        <f ca="1">IF(AF20,IFERROR(VLOOKUP($A20,Tasks!$X$4:$AC$30,COLUMN(Tasks!$Y$4)-COLUMN(Tasks!$X$4)+1,FALSE),0),U20)</f>
        <v>0</v>
      </c>
      <c r="AH20" s="39">
        <f ca="1">IF(AF20,IFERROR(VLOOKUP($A20,Tasks!$X$4:$AC$30,COLUMN(Tasks!$AB$4)-COLUMN(Tasks!$X$4)+1,FALSE),0),Y20)</f>
        <v>0</v>
      </c>
      <c r="AI20" s="39">
        <f ca="1">IF(AF20,IFERROR(VLOOKUP($A20,Tasks!$X$4:$AC$30,COLUMN(Tasks!$AC$4)-COLUMN(Tasks!$X$4)+1,FALSE),0),Z20)</f>
        <v>0</v>
      </c>
      <c r="AJ20" s="18"/>
      <c r="AK20" s="22"/>
      <c r="AL20" s="22"/>
      <c r="AM20" s="22" t="s">
        <v>39</v>
      </c>
      <c r="AN20" s="22"/>
      <c r="AO20" s="18"/>
      <c r="AP20" s="22"/>
      <c r="AQ20" s="22"/>
    </row>
    <row r="21" spans="1:43" ht="56.25" x14ac:dyDescent="0.2">
      <c r="A21" s="20"/>
      <c r="B21" s="21"/>
      <c r="C21" s="36">
        <f t="shared" ca="1" si="0"/>
        <v>0</v>
      </c>
      <c r="D21" s="37" t="str">
        <f>CONCATENATE(Parameters!$B$2,F21,CHAR(10),Parameters!$B$3,G21,CHAR(10),Parameters!$B$4,H21)</f>
        <v xml:space="preserve">GIVEN You are logged in as Local editor to the system
WHEN 
THEN </v>
      </c>
      <c r="E21" s="21"/>
      <c r="F21" s="22" t="s">
        <v>118</v>
      </c>
      <c r="G21" s="22"/>
      <c r="H21" s="22"/>
      <c r="I21" s="21"/>
      <c r="J21" s="21" t="s">
        <v>88</v>
      </c>
      <c r="K21" s="22"/>
      <c r="L21" s="22"/>
      <c r="M21" s="22"/>
      <c r="N21" s="28"/>
      <c r="O21" s="21"/>
      <c r="P21" s="30" t="s">
        <v>146</v>
      </c>
      <c r="Q21" s="22"/>
      <c r="R21" s="22"/>
      <c r="S21" s="22"/>
      <c r="T21" s="83"/>
      <c r="U21" s="86">
        <f t="shared" si="1"/>
        <v>0</v>
      </c>
      <c r="V21" s="86">
        <f t="shared" si="9"/>
        <v>0</v>
      </c>
      <c r="W21" s="87">
        <f t="shared" si="2"/>
        <v>0</v>
      </c>
      <c r="X21" s="87">
        <f t="shared" si="3"/>
        <v>0</v>
      </c>
      <c r="Y21" s="36">
        <f t="shared" si="4"/>
        <v>0</v>
      </c>
      <c r="Z21" s="36">
        <f t="shared" si="5"/>
        <v>0</v>
      </c>
      <c r="AA21" s="89">
        <f t="shared" ca="1" si="10"/>
        <v>0</v>
      </c>
      <c r="AB21" s="89">
        <f>SQRT(SUM(X$6:X21))</f>
        <v>0</v>
      </c>
      <c r="AC21" s="89">
        <f t="shared" ca="1" si="6"/>
        <v>0</v>
      </c>
      <c r="AD21" s="42">
        <f t="shared" si="7"/>
        <v>0</v>
      </c>
      <c r="AE21" s="42">
        <f t="shared" si="8"/>
        <v>0</v>
      </c>
      <c r="AF21" s="38">
        <f ca="1">IFERROR(IF(VLOOKUP($A21,Tasks!$X$4:$AC$30,COLUMN(Tasks!$Y$4)-COLUMN(Tasks!$X$4)+1,FALSE)&gt;0,1,0),0)</f>
        <v>0</v>
      </c>
      <c r="AG21" s="39">
        <f ca="1">IF(AF21,IFERROR(VLOOKUP($A21,Tasks!$X$4:$AC$30,COLUMN(Tasks!$Y$4)-COLUMN(Tasks!$X$4)+1,FALSE),0),U21)</f>
        <v>0</v>
      </c>
      <c r="AH21" s="39">
        <f ca="1">IF(AF21,IFERROR(VLOOKUP($A21,Tasks!$X$4:$AC$30,COLUMN(Tasks!$AB$4)-COLUMN(Tasks!$X$4)+1,FALSE),0),Y21)</f>
        <v>0</v>
      </c>
      <c r="AI21" s="39">
        <f ca="1">IF(AF21,IFERROR(VLOOKUP($A21,Tasks!$X$4:$AC$30,COLUMN(Tasks!$AC$4)-COLUMN(Tasks!$X$4)+1,FALSE),0),Z21)</f>
        <v>0</v>
      </c>
      <c r="AJ21" s="18"/>
      <c r="AK21" s="22"/>
      <c r="AL21" s="22"/>
      <c r="AM21" s="22" t="s">
        <v>39</v>
      </c>
      <c r="AN21" s="22"/>
      <c r="AO21" s="18"/>
      <c r="AP21" s="22"/>
      <c r="AQ21" s="22"/>
    </row>
    <row r="22" spans="1:43" ht="56.25" x14ac:dyDescent="0.2">
      <c r="A22" s="20"/>
      <c r="B22" s="21"/>
      <c r="C22" s="36">
        <f t="shared" ca="1" si="0"/>
        <v>0</v>
      </c>
      <c r="D22" s="37" t="str">
        <f>CONCATENATE(Parameters!$B$2,F22,CHAR(10),Parameters!$B$3,G22,CHAR(10),Parameters!$B$4,H22)</f>
        <v xml:space="preserve">GIVEN You are logged in as Local editor to the system
WHEN 
THEN </v>
      </c>
      <c r="E22" s="21"/>
      <c r="F22" s="22" t="s">
        <v>118</v>
      </c>
      <c r="G22" s="22"/>
      <c r="H22" s="22"/>
      <c r="I22" s="21"/>
      <c r="J22" s="21" t="s">
        <v>88</v>
      </c>
      <c r="K22" s="22"/>
      <c r="L22" s="22"/>
      <c r="M22" s="22"/>
      <c r="N22" s="28"/>
      <c r="O22" s="21"/>
      <c r="P22" s="30" t="s">
        <v>147</v>
      </c>
      <c r="Q22" s="22"/>
      <c r="R22" s="22"/>
      <c r="S22" s="22"/>
      <c r="T22" s="83"/>
      <c r="U22" s="86">
        <f t="shared" si="1"/>
        <v>0</v>
      </c>
      <c r="V22" s="86">
        <f t="shared" si="9"/>
        <v>0</v>
      </c>
      <c r="W22" s="87">
        <f t="shared" si="2"/>
        <v>0</v>
      </c>
      <c r="X22" s="87">
        <f t="shared" si="3"/>
        <v>0</v>
      </c>
      <c r="Y22" s="36">
        <f t="shared" si="4"/>
        <v>0</v>
      </c>
      <c r="Z22" s="36">
        <f t="shared" si="5"/>
        <v>0</v>
      </c>
      <c r="AA22" s="89">
        <f t="shared" ca="1" si="10"/>
        <v>0</v>
      </c>
      <c r="AB22" s="89">
        <f>SQRT(SUM(X$6:X22))</f>
        <v>0</v>
      </c>
      <c r="AC22" s="89">
        <f t="shared" ca="1" si="6"/>
        <v>0</v>
      </c>
      <c r="AD22" s="42">
        <f t="shared" si="7"/>
        <v>0</v>
      </c>
      <c r="AE22" s="42">
        <f t="shared" si="8"/>
        <v>0</v>
      </c>
      <c r="AF22" s="38">
        <f ca="1">IFERROR(IF(VLOOKUP($A22,Tasks!$X$4:$AC$30,COLUMN(Tasks!$Y$4)-COLUMN(Tasks!$X$4)+1,FALSE)&gt;0,1,0),0)</f>
        <v>0</v>
      </c>
      <c r="AG22" s="39">
        <f ca="1">IF(AF22,IFERROR(VLOOKUP($A22,Tasks!$X$4:$AC$30,COLUMN(Tasks!$Y$4)-COLUMN(Tasks!$X$4)+1,FALSE),0),U22)</f>
        <v>0</v>
      </c>
      <c r="AH22" s="39">
        <f ca="1">IF(AF22,IFERROR(VLOOKUP($A22,Tasks!$X$4:$AC$30,COLUMN(Tasks!$AB$4)-COLUMN(Tasks!$X$4)+1,FALSE),0),Y22)</f>
        <v>0</v>
      </c>
      <c r="AI22" s="39">
        <f ca="1">IF(AF22,IFERROR(VLOOKUP($A22,Tasks!$X$4:$AC$30,COLUMN(Tasks!$AC$4)-COLUMN(Tasks!$X$4)+1,FALSE),0),Z22)</f>
        <v>0</v>
      </c>
      <c r="AJ22" s="18"/>
      <c r="AK22" s="22"/>
      <c r="AL22" s="22"/>
      <c r="AM22" s="22" t="s">
        <v>39</v>
      </c>
      <c r="AN22" s="22"/>
      <c r="AO22" s="18"/>
      <c r="AP22" s="22"/>
      <c r="AQ22" s="22"/>
    </row>
    <row r="23" spans="1:43" ht="45" x14ac:dyDescent="0.2">
      <c r="A23" s="20"/>
      <c r="B23" s="21"/>
      <c r="C23" s="36">
        <f t="shared" ca="1" si="0"/>
        <v>0</v>
      </c>
      <c r="D23" s="37" t="str">
        <f>CONCATENATE(Parameters!$B$2,F23,CHAR(10),Parameters!$B$3,G23,CHAR(10),Parameters!$B$4,H23)</f>
        <v xml:space="preserve">GIVEN You are logged in as Test leader to the system
WHEN 
THEN </v>
      </c>
      <c r="E23" s="21" t="s">
        <v>178</v>
      </c>
      <c r="F23" s="22" t="s">
        <v>150</v>
      </c>
      <c r="G23" s="22"/>
      <c r="H23" s="22"/>
      <c r="I23" s="21"/>
      <c r="J23" s="21" t="s">
        <v>88</v>
      </c>
      <c r="K23" s="22"/>
      <c r="L23" s="22"/>
      <c r="M23" s="22"/>
      <c r="N23" s="28"/>
      <c r="O23" s="21"/>
      <c r="P23" s="30" t="s">
        <v>148</v>
      </c>
      <c r="Q23" s="22"/>
      <c r="R23" s="22"/>
      <c r="S23" s="22"/>
      <c r="T23" s="83"/>
      <c r="U23" s="86">
        <f t="shared" si="1"/>
        <v>0</v>
      </c>
      <c r="V23" s="86">
        <f t="shared" si="9"/>
        <v>0</v>
      </c>
      <c r="W23" s="87">
        <f t="shared" si="2"/>
        <v>0</v>
      </c>
      <c r="X23" s="87">
        <f t="shared" si="3"/>
        <v>0</v>
      </c>
      <c r="Y23" s="36">
        <f t="shared" si="4"/>
        <v>0</v>
      </c>
      <c r="Z23" s="36">
        <f t="shared" si="5"/>
        <v>0</v>
      </c>
      <c r="AA23" s="89">
        <f t="shared" ca="1" si="10"/>
        <v>0</v>
      </c>
      <c r="AB23" s="89">
        <f>SQRT(SUM(X$6:X23))</f>
        <v>0</v>
      </c>
      <c r="AC23" s="89">
        <f t="shared" ca="1" si="6"/>
        <v>0</v>
      </c>
      <c r="AD23" s="42">
        <f t="shared" si="7"/>
        <v>0</v>
      </c>
      <c r="AE23" s="42">
        <f t="shared" si="8"/>
        <v>0</v>
      </c>
      <c r="AF23" s="38">
        <f ca="1">IFERROR(IF(VLOOKUP($A23,Tasks!$X$4:$AC$30,COLUMN(Tasks!$Y$4)-COLUMN(Tasks!$X$4)+1,FALSE)&gt;0,1,0),0)</f>
        <v>0</v>
      </c>
      <c r="AG23" s="39">
        <f ca="1">IF(AF23,IFERROR(VLOOKUP($A23,Tasks!$X$4:$AC$30,COLUMN(Tasks!$Y$4)-COLUMN(Tasks!$X$4)+1,FALSE),0),U23)</f>
        <v>0</v>
      </c>
      <c r="AH23" s="39">
        <f ca="1">IF(AF23,IFERROR(VLOOKUP($A23,Tasks!$X$4:$AC$30,COLUMN(Tasks!$AB$4)-COLUMN(Tasks!$X$4)+1,FALSE),0),Y23)</f>
        <v>0</v>
      </c>
      <c r="AI23" s="39">
        <f ca="1">IF(AF23,IFERROR(VLOOKUP($A23,Tasks!$X$4:$AC$30,COLUMN(Tasks!$AC$4)-COLUMN(Tasks!$X$4)+1,FALSE),0),Z23)</f>
        <v>0</v>
      </c>
      <c r="AJ23" s="18"/>
      <c r="AK23" s="22"/>
      <c r="AL23" s="22"/>
      <c r="AM23" s="22" t="s">
        <v>39</v>
      </c>
      <c r="AN23" s="22"/>
      <c r="AO23" s="18"/>
      <c r="AP23" s="22"/>
      <c r="AQ23" s="22"/>
    </row>
    <row r="24" spans="1:43" ht="56.25" x14ac:dyDescent="0.2">
      <c r="A24" s="20"/>
      <c r="B24" s="21"/>
      <c r="C24" s="36">
        <f t="shared" ca="1" si="0"/>
        <v>0</v>
      </c>
      <c r="D24" s="37" t="str">
        <f>CONCATENATE(Parameters!$B$2,F24,CHAR(10),Parameters!$B$3,G24,CHAR(10),Parameters!$B$4,H24)</f>
        <v>GIVEN You are logged in as Test leader to the system
WHEN Editing a test case you should have the possibility to add tags to the test case from a pre-defined list.
THEN Test case should be updated with the tags and tags should be visible for the test case</v>
      </c>
      <c r="E24" s="21" t="s">
        <v>178</v>
      </c>
      <c r="F24" s="22" t="s">
        <v>150</v>
      </c>
      <c r="G24" s="22" t="s">
        <v>152</v>
      </c>
      <c r="H24" s="22" t="s">
        <v>151</v>
      </c>
      <c r="I24" s="21"/>
      <c r="J24" s="21" t="s">
        <v>88</v>
      </c>
      <c r="K24" s="22"/>
      <c r="L24" s="22"/>
      <c r="M24" s="22"/>
      <c r="N24" s="28"/>
      <c r="O24" s="21"/>
      <c r="P24" s="30" t="s">
        <v>149</v>
      </c>
      <c r="Q24" s="22"/>
      <c r="R24" s="22"/>
      <c r="S24" s="22"/>
      <c r="T24" s="83"/>
      <c r="U24" s="86">
        <f t="shared" si="1"/>
        <v>0</v>
      </c>
      <c r="V24" s="86">
        <f t="shared" si="9"/>
        <v>0</v>
      </c>
      <c r="W24" s="87">
        <f t="shared" si="2"/>
        <v>0</v>
      </c>
      <c r="X24" s="87">
        <f t="shared" si="3"/>
        <v>0</v>
      </c>
      <c r="Y24" s="36">
        <f t="shared" si="4"/>
        <v>0</v>
      </c>
      <c r="Z24" s="36">
        <f t="shared" si="5"/>
        <v>0</v>
      </c>
      <c r="AA24" s="89">
        <f t="shared" ca="1" si="10"/>
        <v>0</v>
      </c>
      <c r="AB24" s="89">
        <f>SQRT(SUM(X$6:X24))</f>
        <v>0</v>
      </c>
      <c r="AC24" s="89">
        <f t="shared" ca="1" si="6"/>
        <v>0</v>
      </c>
      <c r="AD24" s="42">
        <f t="shared" si="7"/>
        <v>0</v>
      </c>
      <c r="AE24" s="42">
        <f t="shared" si="8"/>
        <v>0</v>
      </c>
      <c r="AF24" s="38">
        <f ca="1">IFERROR(IF(VLOOKUP($A24,Tasks!$X$4:$AC$30,COLUMN(Tasks!$Y$4)-COLUMN(Tasks!$X$4)+1,FALSE)&gt;0,1,0),0)</f>
        <v>0</v>
      </c>
      <c r="AG24" s="39">
        <f ca="1">IF(AF24,IFERROR(VLOOKUP($A24,Tasks!$X$4:$AC$30,COLUMN(Tasks!$Y$4)-COLUMN(Tasks!$X$4)+1,FALSE),0),U24)</f>
        <v>0</v>
      </c>
      <c r="AH24" s="39">
        <f ca="1">IF(AF24,IFERROR(VLOOKUP($A24,Tasks!$X$4:$AC$30,COLUMN(Tasks!$AB$4)-COLUMN(Tasks!$X$4)+1,FALSE),0),Y24)</f>
        <v>0</v>
      </c>
      <c r="AI24" s="39">
        <f ca="1">IF(AF24,IFERROR(VLOOKUP($A24,Tasks!$X$4:$AC$30,COLUMN(Tasks!$AC$4)-COLUMN(Tasks!$X$4)+1,FALSE),0),Z24)</f>
        <v>0</v>
      </c>
      <c r="AJ24" s="18"/>
      <c r="AK24" s="22"/>
      <c r="AL24" s="22"/>
      <c r="AM24" s="22" t="s">
        <v>39</v>
      </c>
      <c r="AN24" s="22"/>
      <c r="AO24" s="18"/>
      <c r="AP24" s="22"/>
      <c r="AQ24" s="22"/>
    </row>
    <row r="25" spans="1:43" ht="101.25" x14ac:dyDescent="0.2">
      <c r="A25" s="20"/>
      <c r="B25" s="21"/>
      <c r="C25" s="36">
        <f t="shared" ca="1" si="0"/>
        <v>0</v>
      </c>
      <c r="D25" s="37" t="str">
        <f>CONCATENATE(Parameters!$B$2,F25,CHAR(10),Parameters!$B$3,G25,CHAR(10),Parameters!$B$4,H25)</f>
        <v xml:space="preserve">GIVEN You are logged in as Test leader to the system
WHEN 
THEN </v>
      </c>
      <c r="E25" s="21" t="s">
        <v>178</v>
      </c>
      <c r="F25" s="22" t="s">
        <v>150</v>
      </c>
      <c r="G25" s="22"/>
      <c r="H25" s="22"/>
      <c r="I25" s="21"/>
      <c r="J25" s="21" t="s">
        <v>88</v>
      </c>
      <c r="K25" s="22"/>
      <c r="L25" s="22"/>
      <c r="M25" s="22"/>
      <c r="N25" s="28"/>
      <c r="O25" s="21"/>
      <c r="P25" s="30" t="s">
        <v>156</v>
      </c>
      <c r="Q25" s="22"/>
      <c r="R25" s="22"/>
      <c r="S25" s="22"/>
      <c r="T25" s="83"/>
      <c r="U25" s="86">
        <f t="shared" si="1"/>
        <v>0</v>
      </c>
      <c r="V25" s="86">
        <f t="shared" si="9"/>
        <v>0</v>
      </c>
      <c r="W25" s="87">
        <f t="shared" si="2"/>
        <v>0</v>
      </c>
      <c r="X25" s="87">
        <f t="shared" si="3"/>
        <v>0</v>
      </c>
      <c r="Y25" s="36">
        <f t="shared" si="4"/>
        <v>0</v>
      </c>
      <c r="Z25" s="36">
        <f t="shared" si="5"/>
        <v>0</v>
      </c>
      <c r="AA25" s="89">
        <f t="shared" ca="1" si="10"/>
        <v>0</v>
      </c>
      <c r="AB25" s="89">
        <f>SQRT(SUM(X$6:X25))</f>
        <v>0</v>
      </c>
      <c r="AC25" s="89">
        <f t="shared" ca="1" si="6"/>
        <v>0</v>
      </c>
      <c r="AD25" s="42">
        <f t="shared" si="7"/>
        <v>0</v>
      </c>
      <c r="AE25" s="42">
        <f t="shared" si="8"/>
        <v>0</v>
      </c>
      <c r="AF25" s="38">
        <f ca="1">IFERROR(IF(VLOOKUP($A25,Tasks!$X$4:$AC$30,COLUMN(Tasks!$Y$4)-COLUMN(Tasks!$X$4)+1,FALSE)&gt;0,1,0),0)</f>
        <v>0</v>
      </c>
      <c r="AG25" s="39">
        <f ca="1">IF(AF25,IFERROR(VLOOKUP($A25,Tasks!$X$4:$AC$30,COLUMN(Tasks!$Y$4)-COLUMN(Tasks!$X$4)+1,FALSE),0),U25)</f>
        <v>0</v>
      </c>
      <c r="AH25" s="39">
        <f ca="1">IF(AF25,IFERROR(VLOOKUP($A25,Tasks!$X$4:$AC$30,COLUMN(Tasks!$AB$4)-COLUMN(Tasks!$X$4)+1,FALSE),0),Y25)</f>
        <v>0</v>
      </c>
      <c r="AI25" s="39">
        <f ca="1">IF(AF25,IFERROR(VLOOKUP($A25,Tasks!$X$4:$AC$30,COLUMN(Tasks!$AC$4)-COLUMN(Tasks!$X$4)+1,FALSE),0),Z25)</f>
        <v>0</v>
      </c>
      <c r="AJ25" s="18"/>
      <c r="AK25" s="22"/>
      <c r="AL25" s="22"/>
      <c r="AM25" s="22" t="s">
        <v>39</v>
      </c>
      <c r="AN25" s="22"/>
      <c r="AO25" s="18"/>
      <c r="AP25" s="22"/>
      <c r="AQ25" s="22"/>
    </row>
    <row r="26" spans="1:43" ht="67.5" x14ac:dyDescent="0.2">
      <c r="A26" s="20"/>
      <c r="B26" s="21"/>
      <c r="C26" s="36">
        <f t="shared" ca="1" si="0"/>
        <v>0</v>
      </c>
      <c r="D26" s="37" t="str">
        <f>CONCATENATE(Parameters!$B$2,F26,CHAR(10),Parameters!$B$3,G26,CHAR(10),Parameters!$B$4,H26)</f>
        <v>GIVEN You are logged in as Test leader to the system
WHEN Editing a test case you should have the possibility to add attachements to a test case
THEN The attachement should be added to the test case and it should be possible to click the attachement viewing the test case</v>
      </c>
      <c r="E26" s="21" t="s">
        <v>178</v>
      </c>
      <c r="F26" s="22" t="s">
        <v>150</v>
      </c>
      <c r="G26" s="22" t="s">
        <v>154</v>
      </c>
      <c r="H26" s="22" t="s">
        <v>155</v>
      </c>
      <c r="I26" s="21"/>
      <c r="J26" s="21" t="s">
        <v>88</v>
      </c>
      <c r="K26" s="22"/>
      <c r="L26" s="22"/>
      <c r="M26" s="22"/>
      <c r="N26" s="28"/>
      <c r="O26" s="21"/>
      <c r="P26" s="30" t="s">
        <v>153</v>
      </c>
      <c r="Q26" s="22"/>
      <c r="R26" s="22"/>
      <c r="S26" s="22"/>
      <c r="T26" s="83"/>
      <c r="U26" s="86">
        <f t="shared" si="1"/>
        <v>0</v>
      </c>
      <c r="V26" s="86">
        <f t="shared" si="9"/>
        <v>0</v>
      </c>
      <c r="W26" s="87">
        <f t="shared" si="2"/>
        <v>0</v>
      </c>
      <c r="X26" s="87">
        <f t="shared" si="3"/>
        <v>0</v>
      </c>
      <c r="Y26" s="36">
        <f t="shared" si="4"/>
        <v>0</v>
      </c>
      <c r="Z26" s="36">
        <f t="shared" si="5"/>
        <v>0</v>
      </c>
      <c r="AA26" s="89">
        <f t="shared" ca="1" si="10"/>
        <v>0</v>
      </c>
      <c r="AB26" s="89">
        <f>SQRT(SUM(X$6:X26))</f>
        <v>0</v>
      </c>
      <c r="AC26" s="89">
        <f t="shared" ca="1" si="6"/>
        <v>0</v>
      </c>
      <c r="AD26" s="42">
        <f t="shared" si="7"/>
        <v>0</v>
      </c>
      <c r="AE26" s="42">
        <f t="shared" si="8"/>
        <v>0</v>
      </c>
      <c r="AF26" s="38">
        <f ca="1">IFERROR(IF(VLOOKUP($A26,Tasks!$X$4:$AC$30,COLUMN(Tasks!$Y$4)-COLUMN(Tasks!$X$4)+1,FALSE)&gt;0,1,0),0)</f>
        <v>0</v>
      </c>
      <c r="AG26" s="39">
        <f ca="1">IF(AF26,IFERROR(VLOOKUP($A26,Tasks!$X$4:$AC$30,COLUMN(Tasks!$Y$4)-COLUMN(Tasks!$X$4)+1,FALSE),0),U26)</f>
        <v>0</v>
      </c>
      <c r="AH26" s="39">
        <f ca="1">IF(AF26,IFERROR(VLOOKUP($A26,Tasks!$X$4:$AC$30,COLUMN(Tasks!$AB$4)-COLUMN(Tasks!$X$4)+1,FALSE),0),Y26)</f>
        <v>0</v>
      </c>
      <c r="AI26" s="39">
        <f ca="1">IF(AF26,IFERROR(VLOOKUP($A26,Tasks!$X$4:$AC$30,COLUMN(Tasks!$AC$4)-COLUMN(Tasks!$X$4)+1,FALSE),0),Z26)</f>
        <v>0</v>
      </c>
      <c r="AJ26" s="18"/>
      <c r="AK26" s="22"/>
      <c r="AL26" s="22"/>
      <c r="AM26" s="22" t="s">
        <v>39</v>
      </c>
      <c r="AN26" s="22"/>
      <c r="AO26" s="18"/>
      <c r="AP26" s="22"/>
      <c r="AQ26" s="22"/>
    </row>
    <row r="27" spans="1:43" ht="90" x14ac:dyDescent="0.2">
      <c r="A27" s="20"/>
      <c r="B27" s="21"/>
      <c r="C27" s="36">
        <f t="shared" ca="1" si="0"/>
        <v>0</v>
      </c>
      <c r="D27" s="37" t="str">
        <f>CONCATENATE(Parameters!$B$2,F27,CHAR(10),Parameters!$B$3,G27,CHAR(10),Parameters!$B$4,H27)</f>
        <v>GIVEN You are logged in as Test leader to the system
WHEN Creating a test sequence you should be able to filter on product class and variants to find valid test cases for your test sequence. You should be able to select all or parts of the test cases and add to your sequence. Then you can save it.
THEN Test sequence should be saved with  the name you chose.</v>
      </c>
      <c r="E27" s="21" t="s">
        <v>178</v>
      </c>
      <c r="F27" s="22" t="s">
        <v>150</v>
      </c>
      <c r="G27" s="22" t="s">
        <v>158</v>
      </c>
      <c r="H27" s="22" t="s">
        <v>159</v>
      </c>
      <c r="I27" s="21"/>
      <c r="J27" s="21" t="s">
        <v>88</v>
      </c>
      <c r="K27" s="22"/>
      <c r="L27" s="22"/>
      <c r="M27" s="22"/>
      <c r="N27" s="28"/>
      <c r="O27" s="21"/>
      <c r="P27" s="30" t="s">
        <v>157</v>
      </c>
      <c r="Q27" s="22"/>
      <c r="R27" s="22"/>
      <c r="S27" s="22"/>
      <c r="T27" s="83"/>
      <c r="U27" s="86">
        <f t="shared" si="1"/>
        <v>0</v>
      </c>
      <c r="V27" s="86">
        <f t="shared" si="9"/>
        <v>0</v>
      </c>
      <c r="W27" s="87">
        <f t="shared" si="2"/>
        <v>0</v>
      </c>
      <c r="X27" s="87">
        <f t="shared" si="3"/>
        <v>0</v>
      </c>
      <c r="Y27" s="36">
        <f t="shared" si="4"/>
        <v>0</v>
      </c>
      <c r="Z27" s="36">
        <f t="shared" si="5"/>
        <v>0</v>
      </c>
      <c r="AA27" s="89">
        <f t="shared" ca="1" si="10"/>
        <v>0</v>
      </c>
      <c r="AB27" s="89">
        <f>SQRT(SUM(X$6:X27))</f>
        <v>0</v>
      </c>
      <c r="AC27" s="89">
        <f t="shared" ca="1" si="6"/>
        <v>0</v>
      </c>
      <c r="AD27" s="42">
        <f t="shared" si="7"/>
        <v>0</v>
      </c>
      <c r="AE27" s="42">
        <f t="shared" si="8"/>
        <v>0</v>
      </c>
      <c r="AF27" s="38">
        <f ca="1">IFERROR(IF(VLOOKUP($A27,Tasks!$X$4:$AC$30,COLUMN(Tasks!$Y$4)-COLUMN(Tasks!$X$4)+1,FALSE)&gt;0,1,0),0)</f>
        <v>0</v>
      </c>
      <c r="AG27" s="39">
        <f ca="1">IF(AF27,IFERROR(VLOOKUP($A27,Tasks!$X$4:$AC$30,COLUMN(Tasks!$Y$4)-COLUMN(Tasks!$X$4)+1,FALSE),0),U27)</f>
        <v>0</v>
      </c>
      <c r="AH27" s="39">
        <f ca="1">IF(AF27,IFERROR(VLOOKUP($A27,Tasks!$X$4:$AC$30,COLUMN(Tasks!$AB$4)-COLUMN(Tasks!$X$4)+1,FALSE),0),Y27)</f>
        <v>0</v>
      </c>
      <c r="AI27" s="39">
        <f ca="1">IF(AF27,IFERROR(VLOOKUP($A27,Tasks!$X$4:$AC$30,COLUMN(Tasks!$AC$4)-COLUMN(Tasks!$X$4)+1,FALSE),0),Z27)</f>
        <v>0</v>
      </c>
      <c r="AJ27" s="18"/>
      <c r="AK27" s="22"/>
      <c r="AL27" s="22"/>
      <c r="AM27" s="22" t="s">
        <v>39</v>
      </c>
      <c r="AN27" s="22"/>
      <c r="AO27" s="18"/>
      <c r="AP27" s="22"/>
      <c r="AQ27" s="22"/>
    </row>
    <row r="28" spans="1:43" ht="33.75" x14ac:dyDescent="0.2">
      <c r="A28" s="20"/>
      <c r="B28" s="21"/>
      <c r="C28" s="36">
        <f t="shared" ca="1" si="0"/>
        <v>0</v>
      </c>
      <c r="D28" s="37" t="str">
        <f>CONCATENATE(Parameters!$B$2,F28,CHAR(10),Parameters!$B$3,G28,CHAR(10),Parameters!$B$4,H28)</f>
        <v xml:space="preserve">GIVEN 
WHEN 
THEN </v>
      </c>
      <c r="E28" s="21"/>
      <c r="F28" s="21"/>
      <c r="G28" s="22"/>
      <c r="H28" s="22"/>
      <c r="I28" s="21"/>
      <c r="J28" s="21" t="s">
        <v>88</v>
      </c>
      <c r="K28" s="22"/>
      <c r="L28" s="22"/>
      <c r="M28" s="22"/>
      <c r="N28" s="28"/>
      <c r="O28" s="21"/>
      <c r="P28" s="30" t="s">
        <v>160</v>
      </c>
      <c r="Q28" s="22"/>
      <c r="R28" s="22"/>
      <c r="S28" s="22"/>
      <c r="T28" s="83"/>
      <c r="U28" s="86">
        <f t="shared" si="1"/>
        <v>0</v>
      </c>
      <c r="V28" s="86">
        <f t="shared" si="9"/>
        <v>0</v>
      </c>
      <c r="W28" s="87">
        <f t="shared" si="2"/>
        <v>0</v>
      </c>
      <c r="X28" s="87">
        <f t="shared" si="3"/>
        <v>0</v>
      </c>
      <c r="Y28" s="36">
        <f t="shared" si="4"/>
        <v>0</v>
      </c>
      <c r="Z28" s="36">
        <f t="shared" si="5"/>
        <v>0</v>
      </c>
      <c r="AA28" s="89">
        <f t="shared" ca="1" si="10"/>
        <v>0</v>
      </c>
      <c r="AB28" s="89">
        <f>SQRT(SUM(X$6:X28))</f>
        <v>0</v>
      </c>
      <c r="AC28" s="89">
        <f t="shared" ca="1" si="6"/>
        <v>0</v>
      </c>
      <c r="AD28" s="42">
        <f t="shared" si="7"/>
        <v>0</v>
      </c>
      <c r="AE28" s="42">
        <f t="shared" si="8"/>
        <v>0</v>
      </c>
      <c r="AF28" s="38">
        <f ca="1">IFERROR(IF(VLOOKUP($A28,Tasks!$X$4:$AC$30,COLUMN(Tasks!$Y$4)-COLUMN(Tasks!$X$4)+1,FALSE)&gt;0,1,0),0)</f>
        <v>0</v>
      </c>
      <c r="AG28" s="39">
        <f ca="1">IF(AF28,IFERROR(VLOOKUP($A28,Tasks!$X$4:$AC$30,COLUMN(Tasks!$Y$4)-COLUMN(Tasks!$X$4)+1,FALSE),0),U28)</f>
        <v>0</v>
      </c>
      <c r="AH28" s="39">
        <f ca="1">IF(AF28,IFERROR(VLOOKUP($A28,Tasks!$X$4:$AC$30,COLUMN(Tasks!$AB$4)-COLUMN(Tasks!$X$4)+1,FALSE),0),Y28)</f>
        <v>0</v>
      </c>
      <c r="AI28" s="39">
        <f ca="1">IF(AF28,IFERROR(VLOOKUP($A28,Tasks!$X$4:$AC$30,COLUMN(Tasks!$AC$4)-COLUMN(Tasks!$X$4)+1,FALSE),0),Z28)</f>
        <v>0</v>
      </c>
      <c r="AJ28" s="18"/>
      <c r="AK28" s="22"/>
      <c r="AL28" s="22"/>
      <c r="AM28" s="22" t="s">
        <v>39</v>
      </c>
      <c r="AN28" s="22"/>
      <c r="AO28" s="18"/>
      <c r="AP28" s="22"/>
      <c r="AQ28" s="22"/>
    </row>
    <row r="29" spans="1:43" ht="56.25" x14ac:dyDescent="0.2">
      <c r="A29" s="20"/>
      <c r="B29" s="21"/>
      <c r="C29" s="36">
        <f t="shared" ca="1" si="0"/>
        <v>0</v>
      </c>
      <c r="D29" s="37" t="str">
        <f>CONCATENATE(Parameters!$B$2,F29,CHAR(10),Parameters!$B$3,G29,CHAR(10),Parameters!$B$4,H29)</f>
        <v>GIVEN You are logged in as global responsible
WHEN Searching for test cases or clicking on a test case there should always be an english description and result text for it.
THEN You should be presented with English text.</v>
      </c>
      <c r="E29" s="21" t="s">
        <v>178</v>
      </c>
      <c r="F29" s="22" t="s">
        <v>162</v>
      </c>
      <c r="G29" s="22" t="s">
        <v>163</v>
      </c>
      <c r="H29" s="22" t="s">
        <v>164</v>
      </c>
      <c r="I29" s="21"/>
      <c r="J29" s="21" t="s">
        <v>88</v>
      </c>
      <c r="K29" s="22"/>
      <c r="L29" s="22"/>
      <c r="M29" s="22"/>
      <c r="N29" s="28"/>
      <c r="O29" s="21"/>
      <c r="P29" s="30" t="s">
        <v>161</v>
      </c>
      <c r="Q29" s="22"/>
      <c r="R29" s="22"/>
      <c r="S29" s="22"/>
      <c r="T29" s="83"/>
      <c r="U29" s="86">
        <f t="shared" si="1"/>
        <v>0</v>
      </c>
      <c r="V29" s="86">
        <f t="shared" si="9"/>
        <v>0</v>
      </c>
      <c r="W29" s="87">
        <f t="shared" si="2"/>
        <v>0</v>
      </c>
      <c r="X29" s="87">
        <f t="shared" si="3"/>
        <v>0</v>
      </c>
      <c r="Y29" s="36">
        <f t="shared" si="4"/>
        <v>0</v>
      </c>
      <c r="Z29" s="36">
        <f t="shared" si="5"/>
        <v>0</v>
      </c>
      <c r="AA29" s="89">
        <f t="shared" ca="1" si="10"/>
        <v>0</v>
      </c>
      <c r="AB29" s="89">
        <f>SQRT(SUM(X$6:X29))</f>
        <v>0</v>
      </c>
      <c r="AC29" s="89">
        <f t="shared" ca="1" si="6"/>
        <v>0</v>
      </c>
      <c r="AD29" s="42">
        <f t="shared" si="7"/>
        <v>0</v>
      </c>
      <c r="AE29" s="42">
        <f t="shared" si="8"/>
        <v>0</v>
      </c>
      <c r="AF29" s="38">
        <f ca="1">IFERROR(IF(VLOOKUP($A29,Tasks!$X$4:$AC$30,COLUMN(Tasks!$Y$4)-COLUMN(Tasks!$X$4)+1,FALSE)&gt;0,1,0),0)</f>
        <v>0</v>
      </c>
      <c r="AG29" s="39">
        <f ca="1">IF(AF29,IFERROR(VLOOKUP($A29,Tasks!$X$4:$AC$30,COLUMN(Tasks!$Y$4)-COLUMN(Tasks!$X$4)+1,FALSE),0),U29)</f>
        <v>0</v>
      </c>
      <c r="AH29" s="39">
        <f ca="1">IF(AF29,IFERROR(VLOOKUP($A29,Tasks!$X$4:$AC$30,COLUMN(Tasks!$AB$4)-COLUMN(Tasks!$X$4)+1,FALSE),0),Y29)</f>
        <v>0</v>
      </c>
      <c r="AI29" s="39">
        <f ca="1">IF(AF29,IFERROR(VLOOKUP($A29,Tasks!$X$4:$AC$30,COLUMN(Tasks!$AC$4)-COLUMN(Tasks!$X$4)+1,FALSE),0),Z29)</f>
        <v>0</v>
      </c>
      <c r="AJ29" s="18"/>
      <c r="AK29" s="22"/>
      <c r="AL29" s="22"/>
      <c r="AM29" s="22" t="s">
        <v>39</v>
      </c>
      <c r="AN29" s="22"/>
      <c r="AO29" s="18"/>
      <c r="AP29" s="22"/>
      <c r="AQ29" s="22"/>
    </row>
    <row r="30" spans="1:43" ht="34.5" customHeight="1" x14ac:dyDescent="0.2">
      <c r="A30" s="20"/>
      <c r="B30" s="21"/>
      <c r="C30" s="36">
        <f t="shared" ca="1" si="0"/>
        <v>0</v>
      </c>
      <c r="D30" s="37" t="str">
        <f>CONCATENATE(Parameters!$B$2,F30,CHAR(10),Parameters!$B$3,G30,CHAR(10),Parameters!$B$4,H30)</f>
        <v xml:space="preserve">GIVEN 
WHEN 
THEN </v>
      </c>
      <c r="E30" s="21" t="s">
        <v>178</v>
      </c>
      <c r="F30" s="21"/>
      <c r="G30" s="22"/>
      <c r="H30" s="22"/>
      <c r="I30" s="21"/>
      <c r="J30" s="21" t="s">
        <v>88</v>
      </c>
      <c r="K30" s="22"/>
      <c r="L30" s="22"/>
      <c r="M30" s="22"/>
      <c r="N30" s="28"/>
      <c r="O30" s="21"/>
      <c r="P30" s="30" t="s">
        <v>165</v>
      </c>
      <c r="Q30" s="22"/>
      <c r="R30" s="22"/>
      <c r="S30" s="22"/>
      <c r="T30" s="83"/>
      <c r="U30" s="86">
        <f t="shared" si="1"/>
        <v>0</v>
      </c>
      <c r="V30" s="86">
        <f t="shared" si="9"/>
        <v>0</v>
      </c>
      <c r="W30" s="87">
        <f t="shared" si="2"/>
        <v>0</v>
      </c>
      <c r="X30" s="87">
        <f t="shared" si="3"/>
        <v>0</v>
      </c>
      <c r="Y30" s="36">
        <f t="shared" si="4"/>
        <v>0</v>
      </c>
      <c r="Z30" s="36">
        <f t="shared" si="5"/>
        <v>0</v>
      </c>
      <c r="AA30" s="89">
        <f t="shared" ca="1" si="10"/>
        <v>0</v>
      </c>
      <c r="AB30" s="89">
        <f>SQRT(SUM(X$6:X30))</f>
        <v>0</v>
      </c>
      <c r="AC30" s="89">
        <f t="shared" ca="1" si="6"/>
        <v>0</v>
      </c>
      <c r="AD30" s="42">
        <f t="shared" si="7"/>
        <v>0</v>
      </c>
      <c r="AE30" s="42">
        <f t="shared" si="8"/>
        <v>0</v>
      </c>
      <c r="AF30" s="38">
        <f ca="1">IFERROR(IF(VLOOKUP($A30,Tasks!$X$4:$AC$30,COLUMN(Tasks!$Y$4)-COLUMN(Tasks!$X$4)+1,FALSE)&gt;0,1,0),0)</f>
        <v>0</v>
      </c>
      <c r="AG30" s="39">
        <f ca="1">IF(AF30,IFERROR(VLOOKUP($A30,Tasks!$X$4:$AC$30,COLUMN(Tasks!$Y$4)-COLUMN(Tasks!$X$4)+1,FALSE),0),U30)</f>
        <v>0</v>
      </c>
      <c r="AH30" s="39">
        <f ca="1">IF(AF30,IFERROR(VLOOKUP($A30,Tasks!$X$4:$AC$30,COLUMN(Tasks!$AB$4)-COLUMN(Tasks!$X$4)+1,FALSE),0),Y30)</f>
        <v>0</v>
      </c>
      <c r="AI30" s="39">
        <f ca="1">IF(AF30,IFERROR(VLOOKUP($A30,Tasks!$X$4:$AC$30,COLUMN(Tasks!$AC$4)-COLUMN(Tasks!$X$4)+1,FALSE),0),Z30)</f>
        <v>0</v>
      </c>
      <c r="AJ30" s="18"/>
      <c r="AK30" s="22"/>
      <c r="AL30" s="22"/>
      <c r="AM30" s="22" t="s">
        <v>39</v>
      </c>
      <c r="AN30" s="22"/>
      <c r="AO30" s="18"/>
      <c r="AP30" s="22"/>
      <c r="AQ30" s="22"/>
    </row>
    <row r="31" spans="1:43" ht="33.75" x14ac:dyDescent="0.2">
      <c r="A31" s="20"/>
      <c r="B31" s="21"/>
      <c r="C31" s="36">
        <f t="shared" ca="1" si="0"/>
        <v>0</v>
      </c>
      <c r="D31" s="37" t="str">
        <f>CONCATENATE(Parameters!$B$2,F31,CHAR(10),Parameters!$B$3,G31,CHAR(10),Parameters!$B$4,H31)</f>
        <v xml:space="preserve">GIVEN You are logged in as Test leader to the system
WHEN 
THEN </v>
      </c>
      <c r="E31" s="21"/>
      <c r="F31" s="22" t="s">
        <v>150</v>
      </c>
      <c r="G31" s="22"/>
      <c r="H31" s="22"/>
      <c r="I31" s="21"/>
      <c r="J31" s="21" t="s">
        <v>88</v>
      </c>
      <c r="K31" s="22"/>
      <c r="L31" s="22"/>
      <c r="M31" s="22"/>
      <c r="N31" s="28"/>
      <c r="O31" s="21"/>
      <c r="P31" s="30" t="s">
        <v>166</v>
      </c>
      <c r="Q31" s="22"/>
      <c r="R31" s="22"/>
      <c r="S31" s="22"/>
      <c r="T31" s="83"/>
      <c r="U31" s="86">
        <f t="shared" si="1"/>
        <v>0</v>
      </c>
      <c r="V31" s="86">
        <f t="shared" si="9"/>
        <v>0</v>
      </c>
      <c r="W31" s="87">
        <f t="shared" si="2"/>
        <v>0</v>
      </c>
      <c r="X31" s="87">
        <f t="shared" si="3"/>
        <v>0</v>
      </c>
      <c r="Y31" s="36">
        <f t="shared" si="4"/>
        <v>0</v>
      </c>
      <c r="Z31" s="36">
        <f t="shared" si="5"/>
        <v>0</v>
      </c>
      <c r="AA31" s="89">
        <f t="shared" ca="1" si="10"/>
        <v>0</v>
      </c>
      <c r="AB31" s="89">
        <f>SQRT(SUM(X$6:X31))</f>
        <v>0</v>
      </c>
      <c r="AC31" s="89">
        <f t="shared" ca="1" si="6"/>
        <v>0</v>
      </c>
      <c r="AD31" s="42">
        <f t="shared" si="7"/>
        <v>0</v>
      </c>
      <c r="AE31" s="42">
        <f t="shared" si="8"/>
        <v>0</v>
      </c>
      <c r="AF31" s="38">
        <f ca="1">IFERROR(IF(VLOOKUP($A31,Tasks!$X$4:$AC$30,COLUMN(Tasks!$Y$4)-COLUMN(Tasks!$X$4)+1,FALSE)&gt;0,1,0),0)</f>
        <v>0</v>
      </c>
      <c r="AG31" s="39">
        <f ca="1">IF(AF31,IFERROR(VLOOKUP($A31,Tasks!$X$4:$AC$30,COLUMN(Tasks!$Y$4)-COLUMN(Tasks!$X$4)+1,FALSE),0),U31)</f>
        <v>0</v>
      </c>
      <c r="AH31" s="39">
        <f ca="1">IF(AF31,IFERROR(VLOOKUP($A31,Tasks!$X$4:$AC$30,COLUMN(Tasks!$AB$4)-COLUMN(Tasks!$X$4)+1,FALSE),0),Y31)</f>
        <v>0</v>
      </c>
      <c r="AI31" s="39">
        <f ca="1">IF(AF31,IFERROR(VLOOKUP($A31,Tasks!$X$4:$AC$30,COLUMN(Tasks!$AC$4)-COLUMN(Tasks!$X$4)+1,FALSE),0),Z31)</f>
        <v>0</v>
      </c>
      <c r="AJ31" s="18"/>
      <c r="AK31" s="22"/>
      <c r="AL31" s="22"/>
      <c r="AM31" s="22" t="s">
        <v>39</v>
      </c>
      <c r="AN31" s="22"/>
      <c r="AO31" s="18"/>
      <c r="AP31" s="22"/>
      <c r="AQ31" s="22"/>
    </row>
    <row r="32" spans="1:43" ht="56.25" x14ac:dyDescent="0.2">
      <c r="A32" s="20"/>
      <c r="B32" s="21"/>
      <c r="C32" s="36">
        <f t="shared" ca="1" si="0"/>
        <v>0</v>
      </c>
      <c r="D32" s="37" t="str">
        <f>CONCATENATE(Parameters!$B$2,F32,CHAR(10),Parameters!$B$3,G32,CHAR(10),Parameters!$B$4,H32)</f>
        <v xml:space="preserve">GIVEN 
WHEN 
THEN </v>
      </c>
      <c r="E32" s="21" t="s">
        <v>111</v>
      </c>
      <c r="F32" s="21"/>
      <c r="G32" s="22"/>
      <c r="H32" s="22"/>
      <c r="I32" s="21"/>
      <c r="J32" s="21" t="s">
        <v>88</v>
      </c>
      <c r="K32" s="22"/>
      <c r="L32" s="22"/>
      <c r="M32" s="22"/>
      <c r="N32" s="28"/>
      <c r="O32" s="21"/>
      <c r="P32" s="110" t="s">
        <v>167</v>
      </c>
      <c r="Q32" s="111"/>
      <c r="R32" s="111"/>
      <c r="S32" s="111"/>
      <c r="T32" s="104"/>
      <c r="U32" s="105">
        <f t="shared" si="1"/>
        <v>0</v>
      </c>
      <c r="V32" s="86">
        <f t="shared" si="9"/>
        <v>0</v>
      </c>
      <c r="W32" s="106">
        <f t="shared" si="2"/>
        <v>0</v>
      </c>
      <c r="X32" s="106">
        <f t="shared" si="3"/>
        <v>0</v>
      </c>
      <c r="Y32" s="91">
        <f t="shared" si="4"/>
        <v>0</v>
      </c>
      <c r="Z32" s="91">
        <f t="shared" si="5"/>
        <v>0</v>
      </c>
      <c r="AA32" s="89">
        <f t="shared" ca="1" si="10"/>
        <v>0</v>
      </c>
      <c r="AB32" s="89">
        <f>SQRT(SUM(X$6:X32))</f>
        <v>0</v>
      </c>
      <c r="AC32" s="89">
        <f t="shared" ca="1" si="6"/>
        <v>0</v>
      </c>
      <c r="AD32" s="92">
        <f t="shared" si="7"/>
        <v>0</v>
      </c>
      <c r="AE32" s="42">
        <f t="shared" si="8"/>
        <v>0</v>
      </c>
      <c r="AF32" s="38">
        <f ca="1">IFERROR(IF(VLOOKUP($A32,Tasks!$X$4:$AC$30,COLUMN(Tasks!$Y$4)-COLUMN(Tasks!$X$4)+1,FALSE)&gt;0,1,0),0)</f>
        <v>0</v>
      </c>
      <c r="AG32" s="39">
        <f ca="1">IF(AF32,IFERROR(VLOOKUP($A32,Tasks!$X$4:$AC$30,COLUMN(Tasks!$Y$4)-COLUMN(Tasks!$X$4)+1,FALSE),0),U32)</f>
        <v>0</v>
      </c>
      <c r="AH32" s="39">
        <f ca="1">IF(AF32,IFERROR(VLOOKUP($A32,Tasks!$X$4:$AC$30,COLUMN(Tasks!$AB$4)-COLUMN(Tasks!$X$4)+1,FALSE),0),Y32)</f>
        <v>0</v>
      </c>
      <c r="AI32" s="39">
        <f ca="1">IF(AF32,IFERROR(VLOOKUP($A32,Tasks!$X$4:$AC$30,COLUMN(Tasks!$AC$4)-COLUMN(Tasks!$X$4)+1,FALSE),0),Z32)</f>
        <v>0</v>
      </c>
      <c r="AJ32" s="18"/>
      <c r="AK32" s="22"/>
      <c r="AL32" s="22"/>
      <c r="AM32" s="22" t="s">
        <v>39</v>
      </c>
      <c r="AN32" s="22"/>
      <c r="AO32" s="18"/>
      <c r="AP32" s="22"/>
      <c r="AQ32" s="22"/>
    </row>
    <row r="33" spans="1:43" hidden="1" x14ac:dyDescent="0.2">
      <c r="P33" s="121" t="s">
        <v>26</v>
      </c>
      <c r="Q33" s="122">
        <f>SUMIF($T6:$T32,$T33,Q6:Q32)</f>
        <v>0</v>
      </c>
      <c r="R33" s="122">
        <f>SUMIF($T6:$T32,$T33,R6:R32)</f>
        <v>0</v>
      </c>
      <c r="S33" s="122">
        <f>SUMIF($T6:$T32,$T33,S6:S32)</f>
        <v>0</v>
      </c>
      <c r="T33" s="123">
        <v>0.1</v>
      </c>
      <c r="U33" s="124">
        <f t="shared" si="1"/>
        <v>0</v>
      </c>
      <c r="V33" s="124">
        <f>SUMIF($T$6:$T$32,$T33,V$6:V$32)</f>
        <v>0</v>
      </c>
      <c r="W33" s="125">
        <f>SQRT(SUMIF($T6:$T32,$T33,X6:X32))</f>
        <v>0</v>
      </c>
      <c r="X33" s="125">
        <f t="shared" si="3"/>
        <v>0</v>
      </c>
      <c r="Y33" s="96">
        <f t="shared" si="4"/>
        <v>0</v>
      </c>
      <c r="Z33" s="96">
        <f t="shared" si="5"/>
        <v>0</v>
      </c>
      <c r="AA33" s="97" t="s">
        <v>28</v>
      </c>
      <c r="AB33" s="97" t="s">
        <v>28</v>
      </c>
      <c r="AC33" s="97" t="s">
        <v>28</v>
      </c>
      <c r="AD33" s="98">
        <f t="shared" si="7"/>
        <v>0</v>
      </c>
      <c r="AE33" s="103" t="s">
        <v>28</v>
      </c>
    </row>
    <row r="34" spans="1:43" hidden="1" x14ac:dyDescent="0.2">
      <c r="P34" s="126" t="s">
        <v>26</v>
      </c>
      <c r="Q34" s="127">
        <f>SUMIF($T6:$T32,$T34,Q6:Q32)</f>
        <v>0</v>
      </c>
      <c r="R34" s="127">
        <f>SUMIF($T6:$T32,$T34,R6:R32)</f>
        <v>0</v>
      </c>
      <c r="S34" s="127">
        <f>SUMIF($T6:$T32,$T34,S6:S32)</f>
        <v>0</v>
      </c>
      <c r="T34" s="83">
        <v>0.25</v>
      </c>
      <c r="U34" s="86">
        <f t="shared" si="1"/>
        <v>0</v>
      </c>
      <c r="V34" s="86">
        <f>SUMIF($T$6:$T$32,$T34,V$6:V$32)</f>
        <v>0</v>
      </c>
      <c r="W34" s="87">
        <f>SQRT(SUMIF($T6:$T32,$T34,X6:X32))</f>
        <v>0</v>
      </c>
      <c r="X34" s="87">
        <f t="shared" si="3"/>
        <v>0</v>
      </c>
      <c r="Y34" s="99">
        <f t="shared" si="4"/>
        <v>0</v>
      </c>
      <c r="Z34" s="99">
        <f t="shared" si="5"/>
        <v>0</v>
      </c>
      <c r="AA34" s="89" t="s">
        <v>28</v>
      </c>
      <c r="AB34" s="89" t="s">
        <v>28</v>
      </c>
      <c r="AC34" s="89" t="s">
        <v>28</v>
      </c>
      <c r="AD34" s="100">
        <f t="shared" si="7"/>
        <v>0</v>
      </c>
      <c r="AE34" s="103" t="s">
        <v>28</v>
      </c>
    </row>
    <row r="35" spans="1:43" ht="12" hidden="1" thickBot="1" x14ac:dyDescent="0.25">
      <c r="P35" s="128" t="s">
        <v>26</v>
      </c>
      <c r="Q35" s="129">
        <f>SUMIF($T6:$T32,$T35,Q6:Q32)</f>
        <v>0</v>
      </c>
      <c r="R35" s="129">
        <f>SUMIF($T6:$T32,$T35,R6:R32)</f>
        <v>0</v>
      </c>
      <c r="S35" s="129">
        <f>SUMIF($T6:$T32,$T35,S6:S32)</f>
        <v>0</v>
      </c>
      <c r="T35" s="130">
        <v>0.4</v>
      </c>
      <c r="U35" s="131">
        <f t="shared" si="1"/>
        <v>0</v>
      </c>
      <c r="V35" s="131">
        <f>SUMIF($T$6:$T$32,$T35,V$6:V$32)</f>
        <v>0</v>
      </c>
      <c r="W35" s="132">
        <f>SQRT(SUMIF($T6:$T32,$T35,X6:X32))</f>
        <v>0</v>
      </c>
      <c r="X35" s="132">
        <f t="shared" si="3"/>
        <v>0</v>
      </c>
      <c r="Y35" s="133">
        <f t="shared" si="4"/>
        <v>0</v>
      </c>
      <c r="Z35" s="133">
        <f t="shared" si="5"/>
        <v>0</v>
      </c>
      <c r="AA35" s="101" t="s">
        <v>28</v>
      </c>
      <c r="AB35" s="101" t="s">
        <v>28</v>
      </c>
      <c r="AC35" s="101" t="s">
        <v>28</v>
      </c>
      <c r="AD35" s="102">
        <f t="shared" si="7"/>
        <v>0</v>
      </c>
      <c r="AE35" s="103" t="s">
        <v>28</v>
      </c>
    </row>
    <row r="36" spans="1:43" ht="12" hidden="1" thickBot="1" x14ac:dyDescent="0.25">
      <c r="P36" s="112" t="s">
        <v>22</v>
      </c>
      <c r="Q36" s="113">
        <f>SUM(Q33:Q35)</f>
        <v>0</v>
      </c>
      <c r="R36" s="113">
        <f>SUM(R33:R35)</f>
        <v>0</v>
      </c>
      <c r="S36" s="114">
        <f>SUM(S33:S35)</f>
        <v>0</v>
      </c>
      <c r="T36" s="115" t="s">
        <v>27</v>
      </c>
      <c r="U36" s="116">
        <f t="shared" si="1"/>
        <v>0</v>
      </c>
      <c r="V36" s="116">
        <f>V33+V34+V35</f>
        <v>0</v>
      </c>
      <c r="W36" s="117">
        <f>SQRT(SUM(X33:X35))</f>
        <v>0</v>
      </c>
      <c r="X36" s="117">
        <f t="shared" si="3"/>
        <v>0</v>
      </c>
      <c r="Y36" s="118">
        <f t="shared" si="4"/>
        <v>0</v>
      </c>
      <c r="Z36" s="118">
        <f t="shared" si="5"/>
        <v>0</v>
      </c>
      <c r="AA36" s="119" t="s">
        <v>28</v>
      </c>
      <c r="AB36" s="119" t="s">
        <v>28</v>
      </c>
      <c r="AC36" s="119" t="s">
        <v>28</v>
      </c>
      <c r="AD36" s="120">
        <f t="shared" si="7"/>
        <v>0</v>
      </c>
      <c r="AE36" s="103" t="s">
        <v>28</v>
      </c>
    </row>
    <row r="37" spans="1:43" hidden="1" x14ac:dyDescent="0.2">
      <c r="P37" s="40" t="s">
        <v>47</v>
      </c>
      <c r="Q37" s="82">
        <f>SUMIF($T6:$T32,$T37,Q6:Q32)</f>
        <v>0</v>
      </c>
      <c r="R37" s="82">
        <f>SUMIF($T6:$T32,$T37,R6:R32)</f>
        <v>0</v>
      </c>
      <c r="S37" s="82">
        <f>SUMIF($T6:$T32,$T37,S6:S32)</f>
        <v>0</v>
      </c>
      <c r="T37" s="107" t="s">
        <v>48</v>
      </c>
      <c r="U37" s="108">
        <f t="shared" si="1"/>
        <v>0</v>
      </c>
      <c r="V37" s="124">
        <f>SUMIF($T$6:$T$32,$T37,V$6:V$32)</f>
        <v>0</v>
      </c>
      <c r="W37" s="109">
        <f>SQRT(SUMIF($T6:$T32,$T37,X6:X35))</f>
        <v>0</v>
      </c>
      <c r="X37" s="109">
        <f t="shared" si="3"/>
        <v>0</v>
      </c>
      <c r="Y37" s="93">
        <f t="shared" si="4"/>
        <v>0</v>
      </c>
      <c r="Z37" s="93">
        <f t="shared" si="5"/>
        <v>0</v>
      </c>
      <c r="AA37" s="94" t="s">
        <v>28</v>
      </c>
      <c r="AB37" s="94" t="s">
        <v>28</v>
      </c>
      <c r="AC37" s="94" t="s">
        <v>28</v>
      </c>
      <c r="AD37" s="95">
        <f t="shared" si="7"/>
        <v>0</v>
      </c>
      <c r="AE37" s="42" t="s">
        <v>28</v>
      </c>
    </row>
    <row r="38" spans="1:43" hidden="1" x14ac:dyDescent="0.2">
      <c r="T38" s="84" t="s">
        <v>27</v>
      </c>
      <c r="U38" s="86">
        <f>U36+U37</f>
        <v>0</v>
      </c>
      <c r="V38" s="86">
        <f>V36+V37</f>
        <v>0</v>
      </c>
      <c r="W38" s="86">
        <f>SQRT(X36+X37)</f>
        <v>0</v>
      </c>
      <c r="X38" s="86">
        <f t="shared" si="3"/>
        <v>0</v>
      </c>
      <c r="Y38" s="90">
        <f>U38-W38</f>
        <v>0</v>
      </c>
      <c r="Z38" s="90">
        <f>U38+W38</f>
        <v>0</v>
      </c>
      <c r="AA38" s="89" t="s">
        <v>28</v>
      </c>
      <c r="AB38" s="89" t="s">
        <v>28</v>
      </c>
      <c r="AC38" s="89" t="s">
        <v>28</v>
      </c>
      <c r="AD38" s="42">
        <f t="shared" si="7"/>
        <v>0</v>
      </c>
      <c r="AE38" s="43" t="s">
        <v>28</v>
      </c>
    </row>
    <row r="39" spans="1:43" ht="56.25" x14ac:dyDescent="0.2">
      <c r="A39" s="20"/>
      <c r="C39" s="36">
        <f t="shared" ref="C39:C44" si="11">AC39</f>
        <v>0</v>
      </c>
      <c r="D39" s="37" t="str">
        <f>CONCATENATE(Parameters!$B$2,F39,CHAR(10),Parameters!$B$3,G39,CHAR(10),Parameters!$B$4,H39)</f>
        <v xml:space="preserve">GIVEN 
WHEN 
THEN </v>
      </c>
      <c r="E39" s="21" t="s">
        <v>111</v>
      </c>
      <c r="F39" s="21"/>
      <c r="G39" s="22"/>
      <c r="H39" s="22"/>
      <c r="L39" s="22"/>
      <c r="M39" s="22"/>
      <c r="N39" s="28"/>
      <c r="O39" s="21"/>
      <c r="P39" s="110" t="s">
        <v>167</v>
      </c>
      <c r="Q39" s="111"/>
      <c r="R39" s="111"/>
      <c r="S39" s="111"/>
      <c r="T39" s="104"/>
      <c r="Y39" s="91">
        <f t="shared" ref="Y39:Y40" si="12">ROUND(U39-(ROUND(SQRT(X39),0)),0)</f>
        <v>0</v>
      </c>
      <c r="Z39" s="91">
        <f t="shared" ref="Z39:Z40" si="13">ROUND(U39+(ROUND(SQRT(X39),0)),0)</f>
        <v>0</v>
      </c>
      <c r="AD39" s="92">
        <f t="shared" ref="AD39:AD40" si="14">IFERROR(W39/U39,0)</f>
        <v>0</v>
      </c>
      <c r="AE39" s="42">
        <f t="shared" ref="AE39:AE40" si="15">IFERROR(X39/SUMIF(T$6:T$32,T39,X$6:X$32),0)</f>
        <v>0</v>
      </c>
      <c r="AJ39" s="18"/>
      <c r="AK39" s="22"/>
      <c r="AL39" s="22"/>
      <c r="AM39" s="22" t="s">
        <v>39</v>
      </c>
      <c r="AN39" s="22"/>
      <c r="AO39" s="18"/>
      <c r="AP39" s="22"/>
      <c r="AQ39" s="22"/>
    </row>
    <row r="40" spans="1:43" ht="57" thickBot="1" x14ac:dyDescent="0.25">
      <c r="A40" s="20"/>
      <c r="C40" s="36">
        <f t="shared" si="11"/>
        <v>0</v>
      </c>
      <c r="D40" s="37" t="str">
        <f>CONCATENATE(Parameters!$B$2,F40,CHAR(10),Parameters!$B$3,G40,CHAR(10),Parameters!$B$4,H40)</f>
        <v xml:space="preserve">GIVEN 
WHEN 
THEN </v>
      </c>
      <c r="E40" s="21" t="s">
        <v>111</v>
      </c>
      <c r="F40" s="21"/>
      <c r="G40" s="22"/>
      <c r="H40" s="22"/>
      <c r="L40" s="22"/>
      <c r="M40" s="22"/>
      <c r="N40" s="28"/>
      <c r="O40" s="21"/>
      <c r="P40" s="110" t="s">
        <v>167</v>
      </c>
      <c r="Q40" s="111"/>
      <c r="R40" s="111"/>
      <c r="S40" s="111"/>
      <c r="T40" s="104"/>
      <c r="Y40" s="91">
        <f t="shared" si="12"/>
        <v>0</v>
      </c>
      <c r="Z40" s="91">
        <f t="shared" si="13"/>
        <v>0</v>
      </c>
      <c r="AD40" s="92">
        <f t="shared" si="14"/>
        <v>0</v>
      </c>
      <c r="AE40" s="42">
        <f t="shared" si="15"/>
        <v>0</v>
      </c>
      <c r="AJ40" s="18"/>
      <c r="AK40" s="22"/>
      <c r="AL40" s="22"/>
      <c r="AM40" s="22" t="s">
        <v>39</v>
      </c>
      <c r="AN40" s="22"/>
      <c r="AO40" s="18"/>
      <c r="AP40" s="22"/>
      <c r="AQ40" s="22"/>
    </row>
    <row r="41" spans="1:43" ht="34.5" thickBot="1" x14ac:dyDescent="0.25">
      <c r="A41" s="20"/>
      <c r="C41" s="36" t="str">
        <f t="shared" si="11"/>
        <v>N/A</v>
      </c>
      <c r="D41" s="37" t="str">
        <f>CONCATENATE(Parameters!$B$2,F41,CHAR(10),Parameters!$B$3,G41,CHAR(10),Parameters!$B$4,H41)</f>
        <v xml:space="preserve">GIVEN You are logged in as Test leader to the system
WHEN 
THEN </v>
      </c>
      <c r="E41" s="21" t="s">
        <v>169</v>
      </c>
      <c r="F41" s="22" t="s">
        <v>150</v>
      </c>
      <c r="G41" s="22"/>
      <c r="H41" s="22"/>
      <c r="L41" s="22"/>
      <c r="M41" s="22"/>
      <c r="N41" s="28"/>
      <c r="O41" s="21"/>
      <c r="P41" s="110" t="s">
        <v>168</v>
      </c>
      <c r="Q41" s="111"/>
      <c r="R41" s="111"/>
      <c r="S41" s="111"/>
      <c r="T41" s="104"/>
      <c r="U41" s="124">
        <f t="shared" ref="U41:U45" si="16">(Q41+(3*S41)+R41)/5</f>
        <v>0</v>
      </c>
      <c r="V41" s="122">
        <f>SUMIF($N$6:$N$33,$N41,V$6:V$33)</f>
        <v>0</v>
      </c>
      <c r="W41" s="125">
        <f>SQRT(SUMIF($N$6:$N$33,$N41,X$6:X$33))</f>
        <v>0</v>
      </c>
      <c r="X41" s="125">
        <f t="shared" ref="X41:X45" si="17">W41*W41</f>
        <v>0</v>
      </c>
      <c r="Y41" s="91">
        <f t="shared" ref="Y41:Y51" si="18">ROUND(U41-(ROUND(SQRT(X41),0)),0)</f>
        <v>0</v>
      </c>
      <c r="Z41" s="91">
        <f t="shared" ref="Z41:Z51" si="19">ROUND(U41+(ROUND(SQRT(X41),0)),0)</f>
        <v>0</v>
      </c>
      <c r="AA41" s="97" t="s">
        <v>28</v>
      </c>
      <c r="AB41" s="97" t="s">
        <v>28</v>
      </c>
      <c r="AC41" s="97" t="s">
        <v>28</v>
      </c>
      <c r="AD41" s="92">
        <f t="shared" ref="AD41:AD51" si="20">IFERROR(W41/U41,0)</f>
        <v>0</v>
      </c>
      <c r="AE41" s="42">
        <f t="shared" ref="AE41:AE51" si="21">IFERROR(X41/SUMIF(T$6:T$32,T41,X$6:X$32),0)</f>
        <v>0</v>
      </c>
      <c r="AJ41" s="18"/>
      <c r="AK41" s="22"/>
      <c r="AL41" s="22"/>
      <c r="AM41" s="22" t="s">
        <v>39</v>
      </c>
      <c r="AN41" s="22"/>
      <c r="AO41" s="18"/>
      <c r="AP41" s="22"/>
      <c r="AQ41" s="22"/>
    </row>
    <row r="42" spans="1:43" ht="68.25" thickBot="1" x14ac:dyDescent="0.25">
      <c r="A42" s="20"/>
      <c r="C42" s="36" t="str">
        <f t="shared" si="11"/>
        <v>N/A</v>
      </c>
      <c r="D42" s="37" t="str">
        <f>CONCATENATE(Parameters!$B$2,F42,CHAR(10),Parameters!$B$3,G42,CHAR(10),Parameters!$B$4,H42)</f>
        <v xml:space="preserve">GIVEN You are logged in as Test leader to the system
WHEN 
THEN </v>
      </c>
      <c r="E42" s="21" t="s">
        <v>171</v>
      </c>
      <c r="F42" s="22" t="s">
        <v>150</v>
      </c>
      <c r="G42" s="22"/>
      <c r="H42" s="22"/>
      <c r="L42" s="22"/>
      <c r="M42" s="22"/>
      <c r="N42" s="28"/>
      <c r="O42" s="21"/>
      <c r="P42" s="110" t="s">
        <v>170</v>
      </c>
      <c r="Q42" s="111"/>
      <c r="R42" s="111"/>
      <c r="S42" s="111"/>
      <c r="T42" s="104"/>
      <c r="U42" s="124">
        <f t="shared" si="16"/>
        <v>0</v>
      </c>
      <c r="V42" s="122">
        <f>SUMIF($N$6:$N$33,$N42,V$6:V$33)</f>
        <v>0</v>
      </c>
      <c r="W42" s="125">
        <f>SQRT(SUMIF($N$6:$N$33,$N42,X$6:X$33))</f>
        <v>0</v>
      </c>
      <c r="X42" s="125">
        <f t="shared" si="17"/>
        <v>0</v>
      </c>
      <c r="Y42" s="91">
        <f t="shared" ref="Y42:Y45" si="22">ROUND(U42-(ROUND(SQRT(X42),0)),0)</f>
        <v>0</v>
      </c>
      <c r="Z42" s="91">
        <f t="shared" ref="Z42:Z45" si="23">ROUND(U42+(ROUND(SQRT(X42),0)),0)</f>
        <v>0</v>
      </c>
      <c r="AA42" s="97" t="s">
        <v>28</v>
      </c>
      <c r="AB42" s="97" t="s">
        <v>28</v>
      </c>
      <c r="AC42" s="97" t="s">
        <v>28</v>
      </c>
      <c r="AD42" s="92">
        <f t="shared" ref="AD42:AD45" si="24">IFERROR(W42/U42,0)</f>
        <v>0</v>
      </c>
      <c r="AE42" s="42">
        <f t="shared" ref="AE42:AE45" si="25">IFERROR(X42/SUMIF(T$6:T$32,T42,X$6:X$32),0)</f>
        <v>0</v>
      </c>
      <c r="AJ42" s="18"/>
      <c r="AK42" s="22"/>
      <c r="AL42" s="22"/>
      <c r="AM42" s="22" t="s">
        <v>39</v>
      </c>
      <c r="AN42" s="22"/>
      <c r="AO42" s="18"/>
      <c r="AP42" s="22"/>
      <c r="AQ42" s="22"/>
    </row>
    <row r="43" spans="1:43" ht="68.25" thickBot="1" x14ac:dyDescent="0.25">
      <c r="A43" s="20"/>
      <c r="C43" s="36" t="str">
        <f t="shared" si="11"/>
        <v>N/A</v>
      </c>
      <c r="D43" s="37" t="str">
        <f>CONCATENATE(Parameters!$B$2,F43,CHAR(10),Parameters!$B$3,G43,CHAR(10),Parameters!$B$4,H43)</f>
        <v xml:space="preserve">GIVEN You are logged in as Test leader to the system
WHEN 
THEN </v>
      </c>
      <c r="E43" s="21" t="s">
        <v>173</v>
      </c>
      <c r="F43" s="22" t="s">
        <v>150</v>
      </c>
      <c r="G43" s="22"/>
      <c r="H43" s="22"/>
      <c r="L43" s="22"/>
      <c r="M43" s="22"/>
      <c r="N43" s="28"/>
      <c r="O43" s="21"/>
      <c r="P43" s="110" t="s">
        <v>172</v>
      </c>
      <c r="Q43" s="111"/>
      <c r="R43" s="111"/>
      <c r="S43" s="111"/>
      <c r="T43" s="104"/>
      <c r="U43" s="124">
        <f t="shared" si="16"/>
        <v>0</v>
      </c>
      <c r="V43" s="122">
        <f>SUMIF($N$6:$N$33,$N43,V$6:V$33)</f>
        <v>0</v>
      </c>
      <c r="W43" s="125">
        <f>SQRT(SUMIF($N$6:$N$33,$N43,X$6:X$33))</f>
        <v>0</v>
      </c>
      <c r="X43" s="125">
        <f t="shared" si="17"/>
        <v>0</v>
      </c>
      <c r="Y43" s="91">
        <f t="shared" si="22"/>
        <v>0</v>
      </c>
      <c r="Z43" s="91">
        <f t="shared" si="23"/>
        <v>0</v>
      </c>
      <c r="AA43" s="97" t="s">
        <v>28</v>
      </c>
      <c r="AB43" s="97" t="s">
        <v>28</v>
      </c>
      <c r="AC43" s="97" t="s">
        <v>28</v>
      </c>
      <c r="AD43" s="92">
        <f t="shared" si="24"/>
        <v>0</v>
      </c>
      <c r="AE43" s="42">
        <f t="shared" si="25"/>
        <v>0</v>
      </c>
      <c r="AJ43" s="18"/>
      <c r="AK43" s="22"/>
      <c r="AL43" s="22"/>
      <c r="AM43" s="22" t="s">
        <v>39</v>
      </c>
      <c r="AN43" s="22"/>
      <c r="AO43" s="18"/>
      <c r="AP43" s="22"/>
      <c r="AQ43" s="22"/>
    </row>
    <row r="44" spans="1:43" ht="57" thickBot="1" x14ac:dyDescent="0.25">
      <c r="A44" s="20"/>
      <c r="C44" s="36" t="str">
        <f t="shared" si="11"/>
        <v>N/A</v>
      </c>
      <c r="D44" s="37" t="str">
        <f>CONCATENATE(Parameters!$B$2,F44,CHAR(10),Parameters!$B$3,G44,CHAR(10),Parameters!$B$4,H44)</f>
        <v xml:space="preserve">GIVEN You are logged in as Test leader to the system
WHEN 
THEN </v>
      </c>
      <c r="E44" s="21" t="s">
        <v>173</v>
      </c>
      <c r="F44" s="22" t="s">
        <v>150</v>
      </c>
      <c r="G44" s="22"/>
      <c r="H44" s="22"/>
      <c r="L44" s="22"/>
      <c r="M44" s="22"/>
      <c r="N44" s="28"/>
      <c r="O44" s="21"/>
      <c r="P44" s="110" t="s">
        <v>174</v>
      </c>
      <c r="Q44" s="111"/>
      <c r="R44" s="111"/>
      <c r="S44" s="111"/>
      <c r="T44" s="104"/>
      <c r="U44" s="124">
        <f t="shared" si="16"/>
        <v>0</v>
      </c>
      <c r="V44" s="122">
        <f>SUMIF($N$6:$N$33,$N44,V$6:V$33)</f>
        <v>0</v>
      </c>
      <c r="W44" s="125">
        <f>SQRT(SUMIF($N$6:$N$33,$N44,X$6:X$33))</f>
        <v>0</v>
      </c>
      <c r="X44" s="125">
        <f t="shared" si="17"/>
        <v>0</v>
      </c>
      <c r="Y44" s="91">
        <f t="shared" si="22"/>
        <v>0</v>
      </c>
      <c r="Z44" s="91">
        <f t="shared" si="23"/>
        <v>0</v>
      </c>
      <c r="AA44" s="97" t="s">
        <v>28</v>
      </c>
      <c r="AB44" s="97" t="s">
        <v>28</v>
      </c>
      <c r="AC44" s="97" t="s">
        <v>28</v>
      </c>
      <c r="AD44" s="92">
        <f t="shared" si="24"/>
        <v>0</v>
      </c>
      <c r="AE44" s="42">
        <f t="shared" si="25"/>
        <v>0</v>
      </c>
      <c r="AJ44" s="18"/>
      <c r="AK44" s="22"/>
      <c r="AL44" s="22"/>
      <c r="AM44" s="22" t="s">
        <v>39</v>
      </c>
      <c r="AN44" s="22"/>
      <c r="AO44" s="18"/>
      <c r="AP44" s="22"/>
      <c r="AQ44" s="22"/>
    </row>
    <row r="45" spans="1:43" ht="67.5" x14ac:dyDescent="0.2">
      <c r="A45" s="20"/>
      <c r="C45" s="36" t="str">
        <f t="shared" ref="C45:C51" si="26">AC45</f>
        <v>N/A</v>
      </c>
      <c r="D45" s="37" t="str">
        <f>CONCATENATE(Parameters!$B$2,F45,CHAR(10),Parameters!$B$3,G45,CHAR(10),Parameters!$B$4,H45)</f>
        <v xml:space="preserve">GIVEN You are logged in as Test leader to the system
WHEN 
THEN </v>
      </c>
      <c r="E45" s="21" t="s">
        <v>176</v>
      </c>
      <c r="F45" s="22" t="s">
        <v>150</v>
      </c>
      <c r="G45" s="22"/>
      <c r="H45" s="22"/>
      <c r="L45" s="22"/>
      <c r="M45" s="22"/>
      <c r="N45" s="28"/>
      <c r="O45" s="21"/>
      <c r="P45" s="110" t="s">
        <v>175</v>
      </c>
      <c r="Q45" s="111"/>
      <c r="R45" s="111"/>
      <c r="S45" s="111"/>
      <c r="T45" s="104"/>
      <c r="U45" s="124">
        <f t="shared" si="16"/>
        <v>0</v>
      </c>
      <c r="V45" s="122">
        <f>SUMIF($N$6:$N$33,$N45,V$6:V$33)</f>
        <v>0</v>
      </c>
      <c r="W45" s="125">
        <f>SQRT(SUMIF($N$6:$N$33,$N45,X$6:X$33))</f>
        <v>0</v>
      </c>
      <c r="X45" s="125">
        <f t="shared" si="17"/>
        <v>0</v>
      </c>
      <c r="Y45" s="91">
        <f t="shared" si="22"/>
        <v>0</v>
      </c>
      <c r="Z45" s="91">
        <f t="shared" si="23"/>
        <v>0</v>
      </c>
      <c r="AA45" s="97" t="s">
        <v>28</v>
      </c>
      <c r="AB45" s="97" t="s">
        <v>28</v>
      </c>
      <c r="AC45" s="97" t="s">
        <v>28</v>
      </c>
      <c r="AD45" s="92">
        <f t="shared" si="24"/>
        <v>0</v>
      </c>
      <c r="AE45" s="42">
        <f t="shared" si="25"/>
        <v>0</v>
      </c>
      <c r="AJ45" s="18"/>
      <c r="AK45" s="22"/>
      <c r="AL45" s="22"/>
      <c r="AM45" s="22" t="s">
        <v>39</v>
      </c>
      <c r="AN45" s="22"/>
      <c r="AO45" s="18"/>
      <c r="AP45" s="22"/>
      <c r="AQ45" s="22"/>
    </row>
    <row r="46" spans="1:43" ht="45" x14ac:dyDescent="0.2">
      <c r="A46" s="20"/>
      <c r="C46" s="36">
        <f t="shared" si="26"/>
        <v>0</v>
      </c>
      <c r="D46" s="37" t="str">
        <f>CONCATENATE(Parameters!$B$2,F46,CHAR(10),Parameters!$B$3,G46,CHAR(10),Parameters!$B$4,H46)</f>
        <v xml:space="preserve">GIVEN You are logged in as Test leader to the system
WHEN 
THEN </v>
      </c>
      <c r="E46" s="21" t="s">
        <v>178</v>
      </c>
      <c r="F46" s="22" t="s">
        <v>150</v>
      </c>
      <c r="G46" s="22"/>
      <c r="H46" s="22"/>
      <c r="L46" s="22"/>
      <c r="M46" s="22"/>
      <c r="N46" s="28"/>
      <c r="O46" s="21"/>
      <c r="P46" s="110" t="s">
        <v>177</v>
      </c>
      <c r="Q46" s="111"/>
      <c r="R46" s="111"/>
      <c r="S46" s="111"/>
      <c r="T46" s="104"/>
      <c r="Y46" s="91">
        <f t="shared" si="18"/>
        <v>0</v>
      </c>
      <c r="Z46" s="91">
        <f t="shared" si="19"/>
        <v>0</v>
      </c>
      <c r="AD46" s="92">
        <f t="shared" si="20"/>
        <v>0</v>
      </c>
      <c r="AE46" s="42">
        <f t="shared" si="21"/>
        <v>0</v>
      </c>
      <c r="AJ46" s="18"/>
      <c r="AK46" s="22"/>
      <c r="AL46" s="22"/>
      <c r="AM46" s="22" t="s">
        <v>39</v>
      </c>
      <c r="AN46" s="22"/>
      <c r="AO46" s="18"/>
      <c r="AP46" s="22"/>
      <c r="AQ46" s="22"/>
    </row>
    <row r="47" spans="1:43" ht="33.75" x14ac:dyDescent="0.2">
      <c r="A47" s="20"/>
      <c r="C47" s="36">
        <f t="shared" si="26"/>
        <v>0</v>
      </c>
      <c r="D47" s="37" t="str">
        <f>CONCATENATE(Parameters!$B$2,F47,CHAR(10),Parameters!$B$3,G47,CHAR(10),Parameters!$B$4,H47)</f>
        <v xml:space="preserve">GIVEN You are logged in as Test leader to the system
WHEN 
THEN </v>
      </c>
      <c r="E47" s="21" t="s">
        <v>178</v>
      </c>
      <c r="F47" s="22" t="s">
        <v>150</v>
      </c>
      <c r="G47" s="22"/>
      <c r="H47" s="22"/>
      <c r="L47" s="22"/>
      <c r="M47" s="22"/>
      <c r="N47" s="28"/>
      <c r="O47" s="21"/>
      <c r="P47" s="110" t="s">
        <v>179</v>
      </c>
      <c r="Q47" s="111"/>
      <c r="R47" s="111"/>
      <c r="S47" s="111"/>
      <c r="T47" s="104"/>
      <c r="Y47" s="91">
        <f t="shared" si="18"/>
        <v>0</v>
      </c>
      <c r="Z47" s="91">
        <f t="shared" si="19"/>
        <v>0</v>
      </c>
      <c r="AD47" s="92">
        <f t="shared" si="20"/>
        <v>0</v>
      </c>
      <c r="AE47" s="42">
        <f t="shared" si="21"/>
        <v>0</v>
      </c>
      <c r="AJ47" s="18"/>
      <c r="AK47" s="22"/>
      <c r="AL47" s="22"/>
      <c r="AM47" s="22" t="s">
        <v>39</v>
      </c>
      <c r="AN47" s="22"/>
      <c r="AO47" s="18"/>
      <c r="AP47" s="22"/>
      <c r="AQ47" s="22"/>
    </row>
    <row r="48" spans="1:43" ht="78.75" x14ac:dyDescent="0.2">
      <c r="A48" s="20"/>
      <c r="C48" s="36">
        <f t="shared" si="26"/>
        <v>0</v>
      </c>
      <c r="D48" s="37" t="str">
        <f>CONCATENATE(Parameters!$B$2,F48,CHAR(10),Parameters!$B$3,G48,CHAR(10),Parameters!$B$4,H48)</f>
        <v xml:space="preserve">GIVEN You are logged in as Test leader to the system
WHEN 
THEN </v>
      </c>
      <c r="E48" s="21" t="s">
        <v>178</v>
      </c>
      <c r="F48" s="22" t="s">
        <v>150</v>
      </c>
      <c r="G48" s="22"/>
      <c r="H48" s="22"/>
      <c r="L48" s="22"/>
      <c r="M48" s="22"/>
      <c r="N48" s="28"/>
      <c r="O48" s="21"/>
      <c r="P48" s="110" t="s">
        <v>180</v>
      </c>
      <c r="Q48" s="111"/>
      <c r="R48" s="111"/>
      <c r="S48" s="111"/>
      <c r="T48" s="104"/>
      <c r="Y48" s="91">
        <f t="shared" si="18"/>
        <v>0</v>
      </c>
      <c r="Z48" s="91">
        <f t="shared" si="19"/>
        <v>0</v>
      </c>
      <c r="AD48" s="92">
        <f t="shared" si="20"/>
        <v>0</v>
      </c>
      <c r="AE48" s="42">
        <f t="shared" si="21"/>
        <v>0</v>
      </c>
      <c r="AJ48" s="18"/>
      <c r="AK48" s="22"/>
      <c r="AL48" s="22"/>
      <c r="AM48" s="22" t="s">
        <v>39</v>
      </c>
      <c r="AN48" s="22"/>
      <c r="AO48" s="18"/>
      <c r="AP48" s="22"/>
      <c r="AQ48" s="22"/>
    </row>
    <row r="49" spans="1:43" ht="45" x14ac:dyDescent="0.2">
      <c r="A49" s="20"/>
      <c r="C49" s="36">
        <f t="shared" si="26"/>
        <v>0</v>
      </c>
      <c r="D49" s="37" t="str">
        <f>CONCATENATE(Parameters!$B$2,F49,CHAR(10),Parameters!$B$3,G49,CHAR(10),Parameters!$B$4,H49)</f>
        <v xml:space="preserve">GIVEN You are logged in as Test leader to the system
WHEN 
THEN </v>
      </c>
      <c r="E49" s="21" t="s">
        <v>178</v>
      </c>
      <c r="F49" s="22" t="s">
        <v>150</v>
      </c>
      <c r="G49" s="22"/>
      <c r="H49" s="22"/>
      <c r="L49" s="22"/>
      <c r="M49" s="22"/>
      <c r="N49" s="28"/>
      <c r="O49" s="21"/>
      <c r="P49" s="110" t="s">
        <v>181</v>
      </c>
      <c r="Q49" s="111"/>
      <c r="R49" s="111"/>
      <c r="S49" s="111"/>
      <c r="T49" s="104"/>
      <c r="Y49" s="91">
        <f t="shared" si="18"/>
        <v>0</v>
      </c>
      <c r="Z49" s="91">
        <f t="shared" si="19"/>
        <v>0</v>
      </c>
      <c r="AD49" s="92">
        <f t="shared" si="20"/>
        <v>0</v>
      </c>
      <c r="AE49" s="42">
        <f t="shared" si="21"/>
        <v>0</v>
      </c>
      <c r="AJ49" s="18"/>
      <c r="AK49" s="22"/>
      <c r="AL49" s="22"/>
      <c r="AM49" s="22" t="s">
        <v>39</v>
      </c>
      <c r="AN49" s="22"/>
      <c r="AO49" s="18"/>
      <c r="AP49" s="22"/>
      <c r="AQ49" s="22"/>
    </row>
    <row r="50" spans="1:43" ht="56.25" x14ac:dyDescent="0.2">
      <c r="A50" s="20"/>
      <c r="C50" s="36">
        <f t="shared" si="26"/>
        <v>0</v>
      </c>
      <c r="D50" s="37" t="str">
        <f>CONCATENATE(Parameters!$B$2,F50,CHAR(10),Parameters!$B$3,G50,CHAR(10),Parameters!$B$4,H50)</f>
        <v xml:space="preserve">GIVEN You are logged in as Test leader to the system
WHEN 
THEN </v>
      </c>
      <c r="E50" s="21" t="s">
        <v>178</v>
      </c>
      <c r="F50" s="22" t="s">
        <v>150</v>
      </c>
      <c r="G50" s="22"/>
      <c r="H50" s="22"/>
      <c r="L50" s="22"/>
      <c r="M50" s="22"/>
      <c r="N50" s="28"/>
      <c r="O50" s="21"/>
      <c r="P50" s="110" t="s">
        <v>183</v>
      </c>
      <c r="Q50" s="111"/>
      <c r="R50" s="111"/>
      <c r="S50" s="111"/>
      <c r="T50" s="104"/>
      <c r="Y50" s="91">
        <f t="shared" si="18"/>
        <v>0</v>
      </c>
      <c r="Z50" s="91">
        <f t="shared" si="19"/>
        <v>0</v>
      </c>
      <c r="AD50" s="92">
        <f t="shared" si="20"/>
        <v>0</v>
      </c>
      <c r="AE50" s="42">
        <f t="shared" si="21"/>
        <v>0</v>
      </c>
      <c r="AJ50" s="18"/>
      <c r="AK50" s="22"/>
      <c r="AL50" s="22"/>
      <c r="AM50" s="22" t="s">
        <v>39</v>
      </c>
      <c r="AN50" s="22"/>
      <c r="AO50" s="18"/>
      <c r="AP50" s="22"/>
      <c r="AQ50" s="22"/>
    </row>
    <row r="51" spans="1:43" ht="33.75" x14ac:dyDescent="0.2">
      <c r="A51" s="20"/>
      <c r="C51" s="36">
        <f t="shared" si="26"/>
        <v>0</v>
      </c>
      <c r="D51" s="37" t="str">
        <f>CONCATENATE(Parameters!$B$2,F51,CHAR(10),Parameters!$B$3,G51,CHAR(10),Parameters!$B$4,H51)</f>
        <v xml:space="preserve">GIVEN You are logged in as Tester to the system
WHEN 
THEN </v>
      </c>
      <c r="E51" s="21" t="s">
        <v>176</v>
      </c>
      <c r="F51" s="22" t="s">
        <v>190</v>
      </c>
      <c r="G51" s="22"/>
      <c r="H51" s="22"/>
      <c r="L51" s="22"/>
      <c r="M51" s="22"/>
      <c r="N51" s="28"/>
      <c r="O51" s="21"/>
      <c r="P51" s="110" t="s">
        <v>184</v>
      </c>
      <c r="Q51" s="111"/>
      <c r="R51" s="111"/>
      <c r="S51" s="111"/>
      <c r="T51" s="104"/>
      <c r="Y51" s="91">
        <f t="shared" si="18"/>
        <v>0</v>
      </c>
      <c r="Z51" s="91">
        <f t="shared" si="19"/>
        <v>0</v>
      </c>
      <c r="AD51" s="92">
        <f t="shared" si="20"/>
        <v>0</v>
      </c>
      <c r="AE51" s="42">
        <f t="shared" si="21"/>
        <v>0</v>
      </c>
      <c r="AJ51" s="18"/>
      <c r="AK51" s="22"/>
      <c r="AL51" s="22"/>
      <c r="AM51" s="22" t="s">
        <v>39</v>
      </c>
      <c r="AN51" s="22"/>
      <c r="AO51" s="18"/>
      <c r="AP51" s="22"/>
      <c r="AQ51" s="22"/>
    </row>
    <row r="52" spans="1:43" ht="33.75" x14ac:dyDescent="0.2">
      <c r="A52" s="20"/>
      <c r="D52" s="37" t="str">
        <f>CONCATENATE(Parameters!$B$2,F52,CHAR(10),Parameters!$B$3,G52,CHAR(10),Parameters!$B$4,H52)</f>
        <v xml:space="preserve">GIVEN You are logged in as Tester to the system
WHEN 
THEN </v>
      </c>
      <c r="E52" s="21" t="s">
        <v>176</v>
      </c>
      <c r="F52" s="22" t="s">
        <v>190</v>
      </c>
      <c r="G52" s="22"/>
      <c r="H52" s="22"/>
      <c r="M52" s="22"/>
      <c r="P52" s="110" t="s">
        <v>185</v>
      </c>
      <c r="AO52" s="18"/>
    </row>
    <row r="53" spans="1:43" ht="78.75" x14ac:dyDescent="0.2">
      <c r="A53" s="20"/>
      <c r="D53" s="37" t="str">
        <f>CONCATENATE(Parameters!$B$2,F53,CHAR(10),Parameters!$B$3,G53,CHAR(10),Parameters!$B$4,H53)</f>
        <v xml:space="preserve">GIVEN You are logged in as Tester to the system
WHEN 
THEN </v>
      </c>
      <c r="E53" s="21" t="s">
        <v>173</v>
      </c>
      <c r="F53" s="22" t="s">
        <v>190</v>
      </c>
      <c r="G53" s="22"/>
      <c r="H53" s="22"/>
      <c r="M53" s="22"/>
      <c r="P53" s="110" t="s">
        <v>186</v>
      </c>
      <c r="AO53" s="18"/>
    </row>
    <row r="54" spans="1:43" ht="45" x14ac:dyDescent="0.2">
      <c r="A54" s="20"/>
      <c r="D54" s="37" t="str">
        <f>CONCATENATE(Parameters!$B$2,F54,CHAR(10),Parameters!$B$3,G54,CHAR(10),Parameters!$B$4,H54)</f>
        <v xml:space="preserve">GIVEN You are logged in as Tester to the system
WHEN 
THEN </v>
      </c>
      <c r="E54" s="21" t="s">
        <v>173</v>
      </c>
      <c r="F54" s="22" t="s">
        <v>190</v>
      </c>
      <c r="G54" s="22"/>
      <c r="H54" s="22"/>
      <c r="M54" s="22"/>
      <c r="P54" s="110" t="s">
        <v>187</v>
      </c>
      <c r="AO54" s="18"/>
    </row>
    <row r="55" spans="1:43" ht="45" x14ac:dyDescent="0.2">
      <c r="A55" s="20"/>
      <c r="D55" s="37" t="str">
        <f>CONCATENATE(Parameters!$B$2,F55,CHAR(10),Parameters!$B$3,G55,CHAR(10),Parameters!$B$4,H55)</f>
        <v xml:space="preserve">GIVEN You are logged in as Tester to the system
WHEN 
THEN </v>
      </c>
      <c r="E55" s="21" t="s">
        <v>173</v>
      </c>
      <c r="F55" s="22" t="s">
        <v>190</v>
      </c>
      <c r="G55" s="22"/>
      <c r="H55" s="22"/>
      <c r="M55" s="22"/>
      <c r="P55" s="110" t="s">
        <v>188</v>
      </c>
      <c r="AO55" s="18"/>
    </row>
    <row r="56" spans="1:43" ht="33.75" x14ac:dyDescent="0.2">
      <c r="A56" s="20"/>
      <c r="D56" s="37" t="str">
        <f>CONCATENATE(Parameters!$B$2,F56,CHAR(10),Parameters!$B$3,G56,CHAR(10),Parameters!$B$4,H56)</f>
        <v xml:space="preserve">GIVEN You are logged in as Tester to the system
WHEN 
THEN </v>
      </c>
      <c r="E56" s="21" t="s">
        <v>176</v>
      </c>
      <c r="F56" s="22" t="s">
        <v>190</v>
      </c>
      <c r="G56" s="22"/>
      <c r="H56" s="22"/>
      <c r="M56" s="22"/>
      <c r="P56" s="110" t="s">
        <v>189</v>
      </c>
      <c r="AO56" s="18"/>
    </row>
    <row r="57" spans="1:43" ht="45" x14ac:dyDescent="0.2">
      <c r="A57" s="20"/>
      <c r="D57" s="37" t="str">
        <f>CONCATENATE(Parameters!$B$2,F57,CHAR(10),Parameters!$B$3,G57,CHAR(10),Parameters!$B$4,H57)</f>
        <v xml:space="preserve">GIVEN You are logged in as Test leader to the system
WHEN 
THEN </v>
      </c>
      <c r="E57" s="21" t="s">
        <v>176</v>
      </c>
      <c r="F57" s="22" t="s">
        <v>150</v>
      </c>
      <c r="G57" s="22"/>
      <c r="H57" s="22"/>
      <c r="M57" s="22"/>
      <c r="P57" s="110" t="s">
        <v>191</v>
      </c>
      <c r="AO57" s="18"/>
    </row>
    <row r="58" spans="1:43" ht="101.25" x14ac:dyDescent="0.2">
      <c r="A58" s="20"/>
      <c r="D58" s="37" t="str">
        <f>CONCATENATE(Parameters!$B$2,F58,CHAR(10),Parameters!$B$3,G58,CHAR(10),Parameters!$B$4,H58)</f>
        <v xml:space="preserve">GIVEN You are logged in as Test leader to the system
WHEN 
THEN </v>
      </c>
      <c r="E58" s="21"/>
      <c r="F58" s="22" t="s">
        <v>150</v>
      </c>
      <c r="G58" s="22"/>
      <c r="H58" s="22"/>
      <c r="M58" s="22"/>
      <c r="P58" s="110" t="s">
        <v>192</v>
      </c>
      <c r="AO58" s="18"/>
    </row>
    <row r="59" spans="1:43" ht="90" x14ac:dyDescent="0.2">
      <c r="A59" s="20"/>
      <c r="D59" s="37" t="str">
        <f>CONCATENATE(Parameters!$B$2,F59,CHAR(10),Parameters!$B$3,G59,CHAR(10),Parameters!$B$4,H59)</f>
        <v xml:space="preserve">GIVEN You are logged in as Test leader to the system
WHEN 
THEN </v>
      </c>
      <c r="E59" s="21" t="s">
        <v>173</v>
      </c>
      <c r="F59" s="22" t="s">
        <v>150</v>
      </c>
      <c r="G59" s="22"/>
      <c r="H59" s="22"/>
      <c r="M59" s="22"/>
      <c r="P59" s="110" t="s">
        <v>193</v>
      </c>
      <c r="AO59" s="18"/>
    </row>
    <row r="60" spans="1:43" ht="33.75" x14ac:dyDescent="0.2">
      <c r="A60" s="20"/>
      <c r="D60" s="37" t="str">
        <f>CONCATENATE(Parameters!$B$2,F60,CHAR(10),Parameters!$B$3,G60,CHAR(10),Parameters!$B$4,H60)</f>
        <v xml:space="preserve">GIVEN You are logged in as Test leader to the system
WHEN 
THEN </v>
      </c>
      <c r="E60" s="21" t="s">
        <v>178</v>
      </c>
      <c r="F60" s="22" t="s">
        <v>150</v>
      </c>
      <c r="G60" s="22"/>
      <c r="H60" s="22"/>
      <c r="M60" s="22"/>
      <c r="P60" s="110" t="s">
        <v>194</v>
      </c>
      <c r="AO60" s="18"/>
    </row>
    <row r="61" spans="1:43" ht="45" x14ac:dyDescent="0.2">
      <c r="A61" s="20"/>
      <c r="D61" s="37" t="str">
        <f>CONCATENATE(Parameters!$B$2,F61,CHAR(10),Parameters!$B$3,G61,CHAR(10),Parameters!$B$4,H61)</f>
        <v xml:space="preserve">GIVEN You are logged in as Test leader to the system
WHEN 
THEN </v>
      </c>
      <c r="E61" s="21" t="s">
        <v>178</v>
      </c>
      <c r="F61" s="22" t="s">
        <v>150</v>
      </c>
      <c r="G61" s="22"/>
      <c r="H61" s="22"/>
      <c r="M61" s="22"/>
      <c r="P61" s="110" t="s">
        <v>195</v>
      </c>
      <c r="AO61" s="18"/>
    </row>
    <row r="62" spans="1:43" ht="45" x14ac:dyDescent="0.2">
      <c r="A62" s="20"/>
      <c r="D62" s="37" t="str">
        <f>CONCATENATE(Parameters!$B$2,F62,CHAR(10),Parameters!$B$3,G62,CHAR(10),Parameters!$B$4,H62)</f>
        <v xml:space="preserve">GIVEN You are logged in as Test leader to the system
WHEN 
THEN </v>
      </c>
      <c r="E62" s="21" t="s">
        <v>178</v>
      </c>
      <c r="F62" s="22" t="s">
        <v>150</v>
      </c>
      <c r="G62" s="22"/>
      <c r="H62" s="22"/>
      <c r="M62" s="22"/>
      <c r="P62" s="110" t="s">
        <v>196</v>
      </c>
      <c r="AO62" s="18"/>
    </row>
    <row r="63" spans="1:43" ht="33.75" x14ac:dyDescent="0.2">
      <c r="A63" s="20"/>
      <c r="D63" s="37" t="str">
        <f>CONCATENATE(Parameters!$B$2,F63,CHAR(10),Parameters!$B$3,G63,CHAR(10),Parameters!$B$4,H63)</f>
        <v xml:space="preserve">GIVEN 
WHEN 
THEN </v>
      </c>
      <c r="E63" s="21" t="s">
        <v>198</v>
      </c>
      <c r="F63" s="22"/>
      <c r="G63" s="22"/>
      <c r="H63" s="22"/>
      <c r="M63" s="22"/>
      <c r="P63" s="110" t="s">
        <v>197</v>
      </c>
      <c r="AO63" s="18"/>
    </row>
    <row r="64" spans="1:43" ht="33.75" x14ac:dyDescent="0.2">
      <c r="A64" s="20"/>
      <c r="D64" s="37" t="str">
        <f>CONCATENATE(Parameters!$B$2,F64,CHAR(10),Parameters!$B$3,G64,CHAR(10),Parameters!$B$4,H64)</f>
        <v xml:space="preserve">GIVEN 
WHEN 
THEN </v>
      </c>
      <c r="E64" s="21" t="s">
        <v>198</v>
      </c>
      <c r="F64" s="22"/>
      <c r="G64" s="22"/>
      <c r="H64" s="22"/>
      <c r="M64" s="22"/>
      <c r="P64" s="110" t="s">
        <v>199</v>
      </c>
      <c r="AO64" s="18"/>
    </row>
    <row r="65" spans="1:41" ht="56.25" x14ac:dyDescent="0.2">
      <c r="A65" s="20"/>
      <c r="D65" s="37" t="str">
        <f>CONCATENATE(Parameters!$B$2,F65,CHAR(10),Parameters!$B$3,G65,CHAR(10),Parameters!$B$4,H65)</f>
        <v xml:space="preserve">GIVEN 
WHEN 
THEN </v>
      </c>
      <c r="E65" s="21" t="s">
        <v>198</v>
      </c>
      <c r="F65" s="22"/>
      <c r="G65" s="22"/>
      <c r="H65" s="22"/>
      <c r="M65" s="22"/>
      <c r="P65" s="110" t="s">
        <v>200</v>
      </c>
      <c r="AO65" s="18"/>
    </row>
    <row r="66" spans="1:41" ht="45" x14ac:dyDescent="0.2">
      <c r="A66" s="20"/>
      <c r="D66" s="37" t="str">
        <f>CONCATENATE(Parameters!$B$2,F66,CHAR(10),Parameters!$B$3,G66,CHAR(10),Parameters!$B$4,H66)</f>
        <v xml:space="preserve">GIVEN 
WHEN 
THEN </v>
      </c>
      <c r="E66" s="21" t="s">
        <v>178</v>
      </c>
      <c r="F66" s="22"/>
      <c r="G66" s="22"/>
      <c r="H66" s="22"/>
      <c r="M66" s="22"/>
      <c r="P66" s="110" t="s">
        <v>201</v>
      </c>
      <c r="AO66" s="18"/>
    </row>
    <row r="67" spans="1:41" ht="135" x14ac:dyDescent="0.2">
      <c r="A67" s="20"/>
      <c r="D67" s="37" t="str">
        <f>CONCATENATE(Parameters!$B$2,F67,CHAR(10),Parameters!$B$3,G67,CHAR(10),Parameters!$B$4,H67)</f>
        <v xml:space="preserve">GIVEN You are logged in as Test leader to the system
WHEN 
THEN </v>
      </c>
      <c r="E67" s="21" t="s">
        <v>198</v>
      </c>
      <c r="F67" s="22" t="s">
        <v>150</v>
      </c>
      <c r="G67" s="22"/>
      <c r="H67" s="22"/>
      <c r="M67" s="22"/>
      <c r="P67" s="110" t="s">
        <v>202</v>
      </c>
      <c r="AO67" s="18"/>
    </row>
    <row r="68" spans="1:41" ht="67.5" x14ac:dyDescent="0.2">
      <c r="A68" s="20"/>
      <c r="D68" s="37" t="str">
        <f>CONCATENATE(Parameters!$B$2,F68,CHAR(10),Parameters!$B$3,G68,CHAR(10),Parameters!$B$4,H68)</f>
        <v xml:space="preserve">GIVEN 
WHEN 
THEN </v>
      </c>
      <c r="E68" s="21" t="s">
        <v>198</v>
      </c>
      <c r="F68" s="22"/>
      <c r="G68" s="22"/>
      <c r="H68" s="22"/>
      <c r="M68" s="22"/>
      <c r="P68" s="110" t="s">
        <v>203</v>
      </c>
      <c r="AO68" s="18"/>
    </row>
    <row r="69" spans="1:41" ht="56.25" x14ac:dyDescent="0.2">
      <c r="A69" s="20"/>
      <c r="D69" s="37" t="str">
        <f>CONCATENATE(Parameters!$B$2,F69,CHAR(10),Parameters!$B$3,G69,CHAR(10),Parameters!$B$4,H69)</f>
        <v xml:space="preserve">GIVEN You are logged in as Test leader to the system
WHEN 
THEN </v>
      </c>
      <c r="E69" s="21" t="s">
        <v>205</v>
      </c>
      <c r="F69" s="22" t="s">
        <v>150</v>
      </c>
      <c r="G69" s="22"/>
      <c r="H69" s="22"/>
      <c r="M69" s="22"/>
      <c r="P69" s="110" t="s">
        <v>204</v>
      </c>
      <c r="AO69" s="18"/>
    </row>
    <row r="70" spans="1:41" ht="45" x14ac:dyDescent="0.2">
      <c r="A70" s="20"/>
      <c r="D70" s="37" t="str">
        <f>CONCATENATE(Parameters!$B$2,F70,CHAR(10),Parameters!$B$3,G70,CHAR(10),Parameters!$B$4,H70)</f>
        <v xml:space="preserve">GIVEN You are logged in as Test leader to the system
WHEN 
THEN </v>
      </c>
      <c r="E70" s="21" t="s">
        <v>205</v>
      </c>
      <c r="F70" s="22" t="s">
        <v>150</v>
      </c>
      <c r="G70" s="22"/>
      <c r="H70" s="22"/>
      <c r="M70" s="22"/>
      <c r="P70" s="110" t="s">
        <v>206</v>
      </c>
      <c r="AO70" s="18"/>
    </row>
    <row r="71" spans="1:41" ht="67.5" x14ac:dyDescent="0.2">
      <c r="A71" s="20"/>
      <c r="D71" s="37" t="str">
        <f>CONCATENATE(Parameters!$B$2,F71,CHAR(10),Parameters!$B$3,G71,CHAR(10),Parameters!$B$4,H71)</f>
        <v xml:space="preserve">GIVEN You are logged in as Test leader to the system
WHEN 
THEN </v>
      </c>
      <c r="E71" s="21"/>
      <c r="F71" s="22" t="s">
        <v>150</v>
      </c>
      <c r="G71" s="22"/>
      <c r="H71" s="22"/>
      <c r="M71" s="22"/>
      <c r="P71" s="110" t="s">
        <v>207</v>
      </c>
      <c r="AO71" s="18"/>
    </row>
    <row r="72" spans="1:41" ht="56.25" x14ac:dyDescent="0.2">
      <c r="A72" s="20"/>
      <c r="D72" s="37" t="str">
        <f>CONCATENATE(Parameters!$B$2,E72,CHAR(10),Parameters!$B$3,G72,CHAR(10),Parameters!$B$4,H72)</f>
        <v xml:space="preserve">GIVEN Usha Rani
WHEN 
THEN </v>
      </c>
      <c r="E72" s="22" t="s">
        <v>214</v>
      </c>
      <c r="F72" s="22" t="s">
        <v>150</v>
      </c>
      <c r="G72" s="22"/>
      <c r="H72" s="22"/>
      <c r="M72" s="22"/>
      <c r="P72" s="110" t="s">
        <v>208</v>
      </c>
      <c r="AO72" s="18"/>
    </row>
    <row r="73" spans="1:41" ht="90" x14ac:dyDescent="0.2">
      <c r="A73" s="20"/>
      <c r="D73" s="37" t="str">
        <f>CONCATENATE(Parameters!$B$2,E73,CHAR(10),Parameters!$B$3,G73,CHAR(10),Parameters!$B$4,H73)</f>
        <v xml:space="preserve">GIVEN Usha Rani, Jessica Erlandsson
WHEN 
THEN </v>
      </c>
      <c r="E73" s="22" t="s">
        <v>215</v>
      </c>
      <c r="F73" s="22" t="s">
        <v>150</v>
      </c>
      <c r="G73" s="22"/>
      <c r="H73" s="22"/>
      <c r="M73" s="22"/>
      <c r="P73" s="110" t="s">
        <v>209</v>
      </c>
      <c r="AO73" s="18"/>
    </row>
    <row r="74" spans="1:41" ht="45" x14ac:dyDescent="0.2">
      <c r="A74" s="20"/>
      <c r="D74" s="37" t="str">
        <f>CONCATENATE(Parameters!$B$2,E74,CHAR(10),Parameters!$B$3,G74,CHAR(10),Parameters!$B$4,H74)</f>
        <v xml:space="preserve">GIVEN Usha Rani, Jessica Erlandsson
WHEN 
THEN </v>
      </c>
      <c r="E74" s="22" t="s">
        <v>215</v>
      </c>
      <c r="F74" s="22" t="s">
        <v>150</v>
      </c>
      <c r="G74" s="22"/>
      <c r="H74" s="22"/>
      <c r="M74" s="22"/>
      <c r="P74" s="110" t="s">
        <v>210</v>
      </c>
      <c r="AO74" s="18"/>
    </row>
    <row r="75" spans="1:41" ht="67.5" x14ac:dyDescent="0.2">
      <c r="A75" s="20"/>
      <c r="D75" s="37" t="str">
        <f>CONCATENATE(Parameters!$B$2,E75,CHAR(10),Parameters!$B$3,G75,CHAR(10),Parameters!$B$4,H75)</f>
        <v xml:space="preserve">GIVEN Usha Rani
WHEN 
THEN </v>
      </c>
      <c r="E75" s="22" t="s">
        <v>214</v>
      </c>
      <c r="F75" s="22" t="s">
        <v>150</v>
      </c>
      <c r="G75" s="22"/>
      <c r="H75" s="22"/>
      <c r="M75" s="22"/>
      <c r="P75" s="110" t="s">
        <v>211</v>
      </c>
      <c r="AO75" s="18"/>
    </row>
    <row r="76" spans="1:41" ht="33.75" x14ac:dyDescent="0.2">
      <c r="A76" s="20"/>
      <c r="D76" s="37" t="str">
        <f>CONCATENATE(Parameters!$B$2,F76,CHAR(10),Parameters!$B$3,G76,CHAR(10),Parameters!$B$4,H76)</f>
        <v xml:space="preserve">GIVEN You are logged in as Test leader to the system
WHEN 
THEN </v>
      </c>
      <c r="E76" s="21" t="s">
        <v>178</v>
      </c>
      <c r="F76" s="22" t="s">
        <v>150</v>
      </c>
      <c r="G76" s="22"/>
      <c r="H76" s="22"/>
      <c r="M76" s="22"/>
      <c r="P76" s="110" t="s">
        <v>212</v>
      </c>
      <c r="AO76" s="18"/>
    </row>
    <row r="77" spans="1:41" ht="56.25" x14ac:dyDescent="0.2">
      <c r="A77" s="20"/>
      <c r="D77" s="37" t="str">
        <f>CONCATENATE(Parameters!$B$2,F77,CHAR(10),Parameters!$B$3,G77,CHAR(10),Parameters!$B$4,H77)</f>
        <v xml:space="preserve">GIVEN You are logged in as Test leader to the system
WHEN 
THEN </v>
      </c>
      <c r="E77" s="21" t="s">
        <v>178</v>
      </c>
      <c r="F77" s="22" t="s">
        <v>150</v>
      </c>
      <c r="G77" s="22"/>
      <c r="H77" s="22"/>
      <c r="M77" s="22"/>
      <c r="P77" s="110" t="s">
        <v>213</v>
      </c>
      <c r="AO77" s="18"/>
    </row>
    <row r="78" spans="1:41" ht="33.75" x14ac:dyDescent="0.2">
      <c r="A78" s="20"/>
      <c r="D78" s="37" t="str">
        <f>CONCATENATE(Parameters!$B$2,F78,CHAR(10),Parameters!$B$3,G78,CHAR(10),Parameters!$B$4,H78)</f>
        <v xml:space="preserve">GIVEN 
WHEN 
THEN </v>
      </c>
      <c r="E78" s="21"/>
      <c r="F78" s="22"/>
      <c r="G78" s="22"/>
      <c r="H78" s="22"/>
      <c r="M78" s="22"/>
      <c r="P78" s="110"/>
      <c r="AO78" s="18"/>
    </row>
    <row r="79" spans="1:41" ht="33.75" x14ac:dyDescent="0.2">
      <c r="A79" s="20"/>
      <c r="D79" s="37" t="str">
        <f>CONCATENATE(Parameters!$B$2,F79,CHAR(10),Parameters!$B$3,G79,CHAR(10),Parameters!$B$4,H79)</f>
        <v xml:space="preserve">GIVEN 
WHEN 
THEN </v>
      </c>
      <c r="E79" s="21"/>
      <c r="F79" s="22"/>
      <c r="G79" s="22"/>
      <c r="H79" s="22"/>
      <c r="M79" s="22"/>
      <c r="P79" s="110"/>
      <c r="AO79" s="18"/>
    </row>
    <row r="80" spans="1:41" ht="33.75" x14ac:dyDescent="0.2">
      <c r="A80" s="20"/>
      <c r="D80" s="37" t="str">
        <f>CONCATENATE(Parameters!$B$2,F80,CHAR(10),Parameters!$B$3,G80,CHAR(10),Parameters!$B$4,H80)</f>
        <v xml:space="preserve">GIVEN 
WHEN 
THEN </v>
      </c>
      <c r="E80" s="21"/>
      <c r="F80" s="22"/>
      <c r="G80" s="22"/>
      <c r="H80" s="22"/>
      <c r="M80" s="22"/>
      <c r="P80" s="110"/>
      <c r="AO80" s="18"/>
    </row>
    <row r="81" spans="1:41" ht="33.75" x14ac:dyDescent="0.2">
      <c r="A81" s="20"/>
      <c r="D81" s="37" t="str">
        <f>CONCATENATE(Parameters!$B$2,F81,CHAR(10),Parameters!$B$3,G81,CHAR(10),Parameters!$B$4,H81)</f>
        <v xml:space="preserve">GIVEN 
WHEN 
THEN </v>
      </c>
      <c r="E81" s="21"/>
      <c r="F81" s="22"/>
      <c r="G81" s="22"/>
      <c r="H81" s="22"/>
      <c r="M81" s="22"/>
      <c r="P81" s="110"/>
      <c r="AO81" s="18"/>
    </row>
    <row r="82" spans="1:41" ht="33.75" x14ac:dyDescent="0.2">
      <c r="A82" s="20"/>
      <c r="D82" s="37" t="str">
        <f>CONCATENATE(Parameters!$B$2,F82,CHAR(10),Parameters!$B$3,G82,CHAR(10),Parameters!$B$4,H82)</f>
        <v xml:space="preserve">GIVEN 
WHEN 
THEN </v>
      </c>
      <c r="E82" s="21"/>
      <c r="F82" s="22"/>
      <c r="G82" s="22"/>
      <c r="H82" s="22"/>
      <c r="M82" s="22"/>
      <c r="P82" s="110"/>
      <c r="AO82" s="18"/>
    </row>
    <row r="83" spans="1:41" ht="33.75" x14ac:dyDescent="0.2">
      <c r="A83" s="20"/>
      <c r="D83" s="37" t="str">
        <f>CONCATENATE(Parameters!$B$2,F83,CHAR(10),Parameters!$B$3,G83,CHAR(10),Parameters!$B$4,H83)</f>
        <v xml:space="preserve">GIVEN 
WHEN 
THEN </v>
      </c>
      <c r="E83" s="21"/>
      <c r="F83" s="22"/>
      <c r="G83" s="22"/>
      <c r="H83" s="22"/>
      <c r="M83" s="22"/>
      <c r="P83" s="110"/>
      <c r="AO83" s="18"/>
    </row>
    <row r="84" spans="1:41" ht="33.75" x14ac:dyDescent="0.2">
      <c r="A84" s="20"/>
      <c r="D84" s="37" t="str">
        <f>CONCATENATE(Parameters!$B$2,F84,CHAR(10),Parameters!$B$3,G84,CHAR(10),Parameters!$B$4,H84)</f>
        <v xml:space="preserve">GIVEN 
WHEN 
THEN </v>
      </c>
      <c r="E84" s="21"/>
      <c r="F84" s="22"/>
      <c r="G84" s="22"/>
      <c r="H84" s="22"/>
      <c r="M84" s="22"/>
      <c r="P84" s="110"/>
      <c r="AO84" s="18"/>
    </row>
    <row r="85" spans="1:41" ht="33.75" x14ac:dyDescent="0.2">
      <c r="A85" s="20"/>
      <c r="D85" s="37" t="str">
        <f>CONCATENATE(Parameters!$B$2,F85,CHAR(10),Parameters!$B$3,G85,CHAR(10),Parameters!$B$4,H85)</f>
        <v xml:space="preserve">GIVEN 
WHEN 
THEN </v>
      </c>
      <c r="E85" s="21"/>
      <c r="F85" s="22"/>
      <c r="G85" s="22"/>
      <c r="H85" s="22"/>
      <c r="M85" s="22"/>
      <c r="P85" s="110"/>
      <c r="AO85" s="18"/>
    </row>
    <row r="86" spans="1:41" ht="33.75" x14ac:dyDescent="0.2">
      <c r="A86" s="20"/>
      <c r="D86" s="37" t="str">
        <f>CONCATENATE(Parameters!$B$2,F86,CHAR(10),Parameters!$B$3,G86,CHAR(10),Parameters!$B$4,H86)</f>
        <v xml:space="preserve">GIVEN 
WHEN 
THEN </v>
      </c>
      <c r="E86" s="21"/>
      <c r="F86" s="22"/>
      <c r="G86" s="22"/>
      <c r="H86" s="22"/>
      <c r="M86" s="22"/>
      <c r="P86" s="110"/>
      <c r="AO86" s="18"/>
    </row>
    <row r="87" spans="1:41" ht="33.75" x14ac:dyDescent="0.2">
      <c r="A87" s="20"/>
      <c r="D87" s="37" t="str">
        <f>CONCATENATE(Parameters!$B$2,F87,CHAR(10),Parameters!$B$3,G87,CHAR(10),Parameters!$B$4,H87)</f>
        <v xml:space="preserve">GIVEN 
WHEN 
THEN </v>
      </c>
      <c r="E87" s="21"/>
      <c r="F87" s="22"/>
      <c r="G87" s="22"/>
      <c r="H87" s="22"/>
      <c r="M87" s="22"/>
      <c r="P87" s="110"/>
      <c r="AO87" s="18"/>
    </row>
    <row r="88" spans="1:41" ht="33.75" x14ac:dyDescent="0.2">
      <c r="A88" s="20"/>
      <c r="D88" s="37" t="str">
        <f>CONCATENATE(Parameters!$B$2,F88,CHAR(10),Parameters!$B$3,G88,CHAR(10),Parameters!$B$4,H88)</f>
        <v xml:space="preserve">GIVEN 
WHEN 
THEN </v>
      </c>
      <c r="E88" s="21"/>
      <c r="F88" s="22"/>
      <c r="G88" s="22"/>
      <c r="H88" s="22"/>
      <c r="M88" s="22"/>
      <c r="P88" s="110"/>
      <c r="AO88" s="18"/>
    </row>
    <row r="89" spans="1:41" ht="33.75" x14ac:dyDescent="0.2">
      <c r="A89" s="20"/>
      <c r="D89" s="37" t="str">
        <f>CONCATENATE(Parameters!$B$2,F89,CHAR(10),Parameters!$B$3,G89,CHAR(10),Parameters!$B$4,H89)</f>
        <v xml:space="preserve">GIVEN 
WHEN 
THEN </v>
      </c>
      <c r="E89" s="21"/>
      <c r="F89" s="22"/>
      <c r="G89" s="22"/>
      <c r="H89" s="22"/>
      <c r="M89" s="22"/>
      <c r="P89" s="110"/>
      <c r="AO89" s="18"/>
    </row>
    <row r="90" spans="1:41" ht="33.75" x14ac:dyDescent="0.2">
      <c r="A90" s="20"/>
      <c r="D90" s="37" t="str">
        <f>CONCATENATE(Parameters!$B$2,F90,CHAR(10),Parameters!$B$3,G90,CHAR(10),Parameters!$B$4,H90)</f>
        <v xml:space="preserve">GIVEN 
WHEN 
THEN </v>
      </c>
      <c r="E90" s="21"/>
      <c r="F90" s="22"/>
      <c r="G90" s="22"/>
      <c r="H90" s="22"/>
      <c r="M90" s="22"/>
      <c r="P90" s="110"/>
      <c r="AO90" s="18"/>
    </row>
    <row r="91" spans="1:41" ht="33.75" x14ac:dyDescent="0.2">
      <c r="A91" s="20"/>
      <c r="D91" s="37" t="str">
        <f>CONCATENATE(Parameters!$B$2,F91,CHAR(10),Parameters!$B$3,G91,CHAR(10),Parameters!$B$4,H91)</f>
        <v xml:space="preserve">GIVEN 
WHEN 
THEN </v>
      </c>
      <c r="E91" s="21"/>
      <c r="F91" s="22"/>
      <c r="G91" s="22"/>
      <c r="H91" s="22"/>
      <c r="M91" s="22"/>
      <c r="P91" s="110"/>
      <c r="AO91" s="18"/>
    </row>
    <row r="92" spans="1:41" ht="33.75" x14ac:dyDescent="0.2">
      <c r="A92" s="20"/>
      <c r="D92" s="37" t="str">
        <f>CONCATENATE(Parameters!$B$2,F92,CHAR(10),Parameters!$B$3,G92,CHAR(10),Parameters!$B$4,H92)</f>
        <v xml:space="preserve">GIVEN 
WHEN 
THEN </v>
      </c>
      <c r="E92" s="21"/>
      <c r="F92" s="22"/>
      <c r="G92" s="22"/>
      <c r="H92" s="22"/>
      <c r="M92" s="22"/>
      <c r="P92" s="110"/>
      <c r="AO92" s="18"/>
    </row>
    <row r="93" spans="1:41" ht="33.75" x14ac:dyDescent="0.2">
      <c r="A93" s="20"/>
      <c r="D93" s="37" t="str">
        <f>CONCATENATE(Parameters!$B$2,F93,CHAR(10),Parameters!$B$3,G93,CHAR(10),Parameters!$B$4,H93)</f>
        <v xml:space="preserve">GIVEN 
WHEN 
THEN </v>
      </c>
      <c r="E93" s="21"/>
      <c r="F93" s="22"/>
      <c r="G93" s="22"/>
      <c r="H93" s="22"/>
      <c r="M93" s="22"/>
      <c r="P93" s="110"/>
      <c r="AO93" s="18"/>
    </row>
    <row r="94" spans="1:41" ht="33.75" x14ac:dyDescent="0.2">
      <c r="A94" s="20"/>
      <c r="D94" s="37" t="str">
        <f>CONCATENATE(Parameters!$B$2,F94,CHAR(10),Parameters!$B$3,G94,CHAR(10),Parameters!$B$4,H94)</f>
        <v xml:space="preserve">GIVEN 
WHEN 
THEN </v>
      </c>
      <c r="E94" s="21"/>
      <c r="F94" s="22"/>
      <c r="G94" s="22"/>
      <c r="H94" s="22"/>
      <c r="M94" s="22"/>
      <c r="P94" s="110"/>
      <c r="AO94" s="18"/>
    </row>
    <row r="95" spans="1:41" ht="33.75" x14ac:dyDescent="0.2">
      <c r="A95" s="20"/>
      <c r="D95" s="37" t="str">
        <f>CONCATENATE(Parameters!$B$2,F95,CHAR(10),Parameters!$B$3,G95,CHAR(10),Parameters!$B$4,H95)</f>
        <v xml:space="preserve">GIVEN 
WHEN 
THEN </v>
      </c>
      <c r="E95" s="21"/>
      <c r="F95" s="22"/>
      <c r="G95" s="22"/>
      <c r="H95" s="22"/>
      <c r="M95" s="22"/>
      <c r="P95" s="110"/>
      <c r="AO95" s="18"/>
    </row>
    <row r="96" spans="1:41" ht="33.75" x14ac:dyDescent="0.2">
      <c r="A96" s="20"/>
      <c r="D96" s="37" t="str">
        <f>CONCATENATE(Parameters!$B$2,F96,CHAR(10),Parameters!$B$3,G96,CHAR(10),Parameters!$B$4,H96)</f>
        <v xml:space="preserve">GIVEN 
WHEN 
THEN </v>
      </c>
      <c r="E96" s="21"/>
      <c r="F96" s="22"/>
      <c r="G96" s="22"/>
      <c r="H96" s="22"/>
      <c r="M96" s="22"/>
      <c r="P96" s="110"/>
      <c r="AO96" s="18"/>
    </row>
    <row r="97" spans="1:41" ht="33.75" x14ac:dyDescent="0.2">
      <c r="A97" s="20"/>
      <c r="D97" s="37" t="str">
        <f>CONCATENATE(Parameters!$B$2,F97,CHAR(10),Parameters!$B$3,G97,CHAR(10),Parameters!$B$4,H97)</f>
        <v xml:space="preserve">GIVEN 
WHEN 
THEN </v>
      </c>
      <c r="E97" s="21"/>
      <c r="F97" s="22"/>
      <c r="G97" s="22"/>
      <c r="H97" s="22"/>
      <c r="M97" s="22"/>
      <c r="P97" s="110"/>
      <c r="AO97" s="18"/>
    </row>
    <row r="98" spans="1:41" ht="33.75" x14ac:dyDescent="0.2">
      <c r="A98" s="20"/>
      <c r="D98" s="37" t="str">
        <f>CONCATENATE(Parameters!$B$2,F98,CHAR(10),Parameters!$B$3,G98,CHAR(10),Parameters!$B$4,H98)</f>
        <v xml:space="preserve">GIVEN 
WHEN 
THEN </v>
      </c>
      <c r="E98" s="21"/>
      <c r="F98" s="22"/>
      <c r="G98" s="22"/>
      <c r="H98" s="22"/>
      <c r="M98" s="22"/>
      <c r="P98" s="110"/>
      <c r="AO98" s="18"/>
    </row>
    <row r="99" spans="1:41" ht="33.75" x14ac:dyDescent="0.2">
      <c r="A99" s="20"/>
      <c r="D99" s="37" t="str">
        <f>CONCATENATE(Parameters!$B$2,F99,CHAR(10),Parameters!$B$3,G99,CHAR(10),Parameters!$B$4,H99)</f>
        <v xml:space="preserve">GIVEN 
WHEN 
THEN </v>
      </c>
      <c r="E99" s="21"/>
      <c r="F99" s="22"/>
      <c r="G99" s="22"/>
      <c r="H99" s="22"/>
      <c r="M99" s="22"/>
      <c r="P99" s="110"/>
      <c r="AO99" s="18"/>
    </row>
    <row r="100" spans="1:41" ht="33.75" x14ac:dyDescent="0.2">
      <c r="A100" s="20"/>
      <c r="D100" s="37" t="str">
        <f>CONCATENATE(Parameters!$B$2,F100,CHAR(10),Parameters!$B$3,G100,CHAR(10),Parameters!$B$4,H100)</f>
        <v xml:space="preserve">GIVEN 
WHEN 
THEN </v>
      </c>
      <c r="E100" s="21"/>
      <c r="F100" s="22"/>
      <c r="G100" s="22"/>
      <c r="H100" s="22"/>
      <c r="M100" s="22"/>
      <c r="P100" s="110"/>
      <c r="AO100" s="18"/>
    </row>
    <row r="101" spans="1:41" ht="33.75" x14ac:dyDescent="0.2">
      <c r="A101" s="20"/>
      <c r="D101" s="37" t="str">
        <f>CONCATENATE(Parameters!$B$2,F101,CHAR(10),Parameters!$B$3,G101,CHAR(10),Parameters!$B$4,H101)</f>
        <v xml:space="preserve">GIVEN 
WHEN 
THEN </v>
      </c>
      <c r="E101" s="21"/>
      <c r="F101" s="22"/>
      <c r="G101" s="22"/>
      <c r="H101" s="22"/>
      <c r="M101" s="22"/>
      <c r="P101" s="110"/>
      <c r="AO101" s="18"/>
    </row>
    <row r="102" spans="1:41" ht="33.75" x14ac:dyDescent="0.2">
      <c r="A102" s="20"/>
      <c r="D102" s="37" t="str">
        <f>CONCATENATE(Parameters!$B$2,F102,CHAR(10),Parameters!$B$3,G102,CHAR(10),Parameters!$B$4,H102)</f>
        <v xml:space="preserve">GIVEN 
WHEN 
THEN </v>
      </c>
      <c r="E102" s="21"/>
      <c r="F102" s="22"/>
      <c r="G102" s="22"/>
      <c r="H102" s="22"/>
      <c r="M102" s="22"/>
      <c r="P102" s="110"/>
      <c r="AO102" s="18"/>
    </row>
    <row r="103" spans="1:41" ht="33.75" x14ac:dyDescent="0.2">
      <c r="A103" s="20"/>
      <c r="D103" s="37" t="str">
        <f>CONCATENATE(Parameters!$B$2,F103,CHAR(10),Parameters!$B$3,G103,CHAR(10),Parameters!$B$4,H103)</f>
        <v xml:space="preserve">GIVEN 
WHEN 
THEN </v>
      </c>
      <c r="E103" s="21"/>
      <c r="F103" s="22"/>
      <c r="G103" s="22"/>
      <c r="H103" s="22"/>
      <c r="M103" s="22"/>
      <c r="P103" s="110"/>
      <c r="AO103" s="18"/>
    </row>
    <row r="104" spans="1:41" ht="33.75" x14ac:dyDescent="0.2">
      <c r="A104" s="20"/>
      <c r="D104" s="37" t="str">
        <f>CONCATENATE(Parameters!$B$2,F104,CHAR(10),Parameters!$B$3,G104,CHAR(10),Parameters!$B$4,H104)</f>
        <v xml:space="preserve">GIVEN 
WHEN 
THEN </v>
      </c>
      <c r="E104" s="21"/>
      <c r="F104" s="22"/>
      <c r="G104" s="22"/>
      <c r="H104" s="22"/>
      <c r="M104" s="22"/>
      <c r="P104" s="110"/>
      <c r="AO104" s="18"/>
    </row>
    <row r="105" spans="1:41" ht="33.75" x14ac:dyDescent="0.2">
      <c r="A105" s="20"/>
      <c r="D105" s="37" t="str">
        <f>CONCATENATE(Parameters!$B$2,F105,CHAR(10),Parameters!$B$3,G105,CHAR(10),Parameters!$B$4,H105)</f>
        <v xml:space="preserve">GIVEN 
WHEN 
THEN </v>
      </c>
      <c r="E105" s="21"/>
      <c r="F105" s="22"/>
      <c r="G105" s="22"/>
      <c r="H105" s="22"/>
      <c r="M105" s="22"/>
      <c r="P105" s="110"/>
      <c r="AO105" s="18"/>
    </row>
  </sheetData>
  <autoFilter ref="A5:AQ38">
    <filterColumn colId="3">
      <filters>
        <filter val="GIVEN _x000a_WHEN _x000a_THEN"/>
      </filters>
    </filterColumn>
    <sortState ref="A4:AP36">
      <sortCondition ref="B3"/>
    </sortState>
  </autoFilter>
  <sortState ref="A4:AL36">
    <sortCondition ref="B4:B36"/>
  </sortState>
  <conditionalFormatting sqref="A6:A32 A39:A105">
    <cfRule type="duplicateValues" dxfId="2" priority="5"/>
  </conditionalFormatting>
  <conditionalFormatting sqref="AD6:AD51">
    <cfRule type="cellIs" dxfId="1" priority="4" operator="greaterThan">
      <formula>$T6</formula>
    </cfRule>
  </conditionalFormatting>
  <conditionalFormatting sqref="AE6:AE32 AE39:AE51">
    <cfRule type="colorScale" priority="3">
      <colorScale>
        <cfvo type="min"/>
        <cfvo type="percentile" val="50"/>
        <cfvo type="max"/>
        <color theme="3" tint="0.79998168889431442"/>
        <color rgb="FFFCFCFF"/>
        <color rgb="FFF8696B"/>
      </colorScale>
    </cfRule>
  </conditionalFormatting>
  <conditionalFormatting sqref="AD33:AD35">
    <cfRule type="cellIs" dxfId="0" priority="1" operator="lessThan">
      <formula>$T33</formula>
    </cfRule>
  </conditionalFormatting>
  <conditionalFormatting sqref="C6:C32 C39:C51">
    <cfRule type="iconSet" priority="6">
      <iconSet iconSet="3Symbols2" showValue="0" reverse="1">
        <cfvo type="percent" val="0"/>
        <cfvo type="num" val="$Y$36" gte="0"/>
        <cfvo type="num" val="$Z$36" gte="0"/>
      </iconSet>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ommandButton1">
          <controlPr defaultSize="0" autoLine="0" r:id="rId5">
            <anchor moveWithCells="1">
              <from>
                <xdr:col>3</xdr:col>
                <xdr:colOff>1104900</xdr:colOff>
                <xdr:row>2</xdr:row>
                <xdr:rowOff>9525</xdr:rowOff>
              </from>
              <to>
                <xdr:col>4</xdr:col>
                <xdr:colOff>0</xdr:colOff>
                <xdr:row>3</xdr:row>
                <xdr:rowOff>133350</xdr:rowOff>
              </to>
            </anchor>
          </controlPr>
        </control>
      </mc:Choice>
      <mc:Fallback>
        <control shapeId="4098" r:id="rId4"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ErrorMessage="1">
          <x14:formula1>
            <xm:f>Parameters!$A$2:$A$5</xm:f>
          </x14:formula1>
          <xm:sqref>AM6:AM32 AM39:AM51</xm:sqref>
        </x14:dataValidation>
        <x14:dataValidation type="list" allowBlank="1" showInputMessage="1" showErrorMessage="1">
          <x14:formula1>
            <xm:f>Parameters!$C$2:$C$3</xm:f>
          </x14:formula1>
          <xm:sqref>J6:J32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4"/>
  <sheetViews>
    <sheetView workbookViewId="0">
      <selection activeCell="B3" sqref="B3"/>
    </sheetView>
  </sheetViews>
  <sheetFormatPr defaultColWidth="53.42578125" defaultRowHeight="11.25" x14ac:dyDescent="0.2"/>
  <cols>
    <col min="1" max="1" width="2.7109375" style="15" bestFit="1" customWidth="1"/>
    <col min="2" max="2" width="72.7109375" style="15" customWidth="1"/>
    <col min="3" max="3" width="14.7109375" style="15" bestFit="1" customWidth="1"/>
    <col min="4" max="4" width="21" style="15" bestFit="1" customWidth="1"/>
    <col min="5" max="5" width="48.42578125" style="15" customWidth="1"/>
    <col min="6" max="6" width="8.42578125" style="15" bestFit="1" customWidth="1"/>
    <col min="7" max="7" width="5" style="29" bestFit="1" customWidth="1"/>
    <col min="8" max="8" width="5.28515625" style="29" bestFit="1" customWidth="1"/>
    <col min="9" max="16384" width="53.42578125" style="15"/>
  </cols>
  <sheetData>
    <row r="1" spans="1:8" s="16" customFormat="1" ht="33.75" x14ac:dyDescent="0.2">
      <c r="A1" s="44" t="str">
        <f>'Acceptance Tests'!A5</f>
        <v>Id</v>
      </c>
      <c r="B1" s="44" t="str">
        <f>'Acceptance Tests'!D5</f>
        <v>Acceptance Test</v>
      </c>
      <c r="C1" s="44" t="str">
        <f>'Acceptance Tests'!K5</f>
        <v>Link to MADI Artifacts</v>
      </c>
      <c r="D1" s="44" t="str">
        <f>'Acceptance Tests'!L5</f>
        <v>Requirement Breakdown
Unique Reference</v>
      </c>
      <c r="E1" s="44" t="str">
        <f>'Acceptance Tests'!P5</f>
        <v>Comment</v>
      </c>
      <c r="F1" s="44" t="str">
        <f>'Acceptance Tests'!T5</f>
        <v>Target
Precision
Level</v>
      </c>
      <c r="G1" s="45" t="str">
        <f>'Acceptance Tests'!Y5</f>
        <v>Lmin</v>
      </c>
      <c r="H1" s="45" t="str">
        <f>'Acceptance Tests'!Z5</f>
        <v>Lmax</v>
      </c>
    </row>
    <row r="2" spans="1:8" ht="33.75" x14ac:dyDescent="0.2">
      <c r="A2" s="46">
        <f>'Acceptance Tests'!A6</f>
        <v>0</v>
      </c>
      <c r="B2" s="46" t="s">
        <v>98</v>
      </c>
      <c r="C2" s="46">
        <f>'Acceptance Tests'!K6</f>
        <v>0</v>
      </c>
      <c r="D2" s="46">
        <f>'Acceptance Tests'!L6</f>
        <v>0</v>
      </c>
      <c r="E2" s="46">
        <f>'Acceptance Tests'!P6</f>
        <v>0</v>
      </c>
      <c r="F2" s="47">
        <f>'Acceptance Tests'!T6</f>
        <v>0</v>
      </c>
      <c r="G2" s="48">
        <f>'Acceptance Tests'!Y6</f>
        <v>0</v>
      </c>
      <c r="H2" s="48">
        <f>'Acceptance Tests'!Z6</f>
        <v>0</v>
      </c>
    </row>
    <row r="3" spans="1:8" ht="33.75" x14ac:dyDescent="0.2">
      <c r="A3" s="46">
        <f>'Acceptance Tests'!A7</f>
        <v>0</v>
      </c>
      <c r="B3" s="46" t="s">
        <v>99</v>
      </c>
      <c r="C3" s="46">
        <f>'Acceptance Tests'!K7</f>
        <v>0</v>
      </c>
      <c r="D3" s="46">
        <f>'Acceptance Tests'!L7</f>
        <v>0</v>
      </c>
      <c r="E3" s="46">
        <f>'Acceptance Tests'!P7</f>
        <v>0</v>
      </c>
      <c r="F3" s="47">
        <f>'Acceptance Tests'!T7</f>
        <v>0</v>
      </c>
      <c r="G3" s="48">
        <f>'Acceptance Tests'!Y7</f>
        <v>0</v>
      </c>
      <c r="H3" s="48">
        <f>'Acceptance Tests'!Z7</f>
        <v>0</v>
      </c>
    </row>
    <row r="4" spans="1:8" ht="67.5" x14ac:dyDescent="0.2">
      <c r="A4" s="46">
        <f>'Acceptance Tests'!A8</f>
        <v>0</v>
      </c>
      <c r="B4" s="46" t="str">
        <f>'Acceptance Tests'!D8</f>
        <v>GIVEN you are logged in as test lead, local editor, master editor
WHEN  chosing to create a test routine
THEN you should be able to add description and create a protocol(Add activities as check list).
You should aso be able to chose periodicity.(one time every morning other.)</v>
      </c>
      <c r="C4" s="46">
        <f>'Acceptance Tests'!K8</f>
        <v>0</v>
      </c>
      <c r="D4" s="46">
        <f>'Acceptance Tests'!L8</f>
        <v>0</v>
      </c>
      <c r="E4" s="46" t="str">
        <f>'Acceptance Tests'!P8</f>
        <v xml:space="preserve">A routine is an activity you do once, or periodically (daily/weekly etc). A routine can contain a protocol. A list of things you have to check off. The routine also contains a description.
The result of a routine during a test is an acknowledgement that the routine is done, and the protocol if it’s part of the routine, and comments from the driver.   </v>
      </c>
      <c r="F4" s="47">
        <f>'Acceptance Tests'!T8</f>
        <v>0</v>
      </c>
      <c r="G4" s="48">
        <f>'Acceptance Tests'!Y8</f>
        <v>0</v>
      </c>
      <c r="H4" s="48">
        <f>'Acceptance Tests'!Z8</f>
        <v>0</v>
      </c>
    </row>
    <row r="5" spans="1:8" ht="146.25" x14ac:dyDescent="0.2">
      <c r="A5" s="46">
        <f>'Acceptance Tests'!A9</f>
        <v>0</v>
      </c>
      <c r="B5" s="46" t="str">
        <f>'Acceptance Tests'!D9</f>
        <v xml:space="preserve">GIVEN you are logged in as test lead, local editor, master editor
WHEN  chosing to create a test case
THEN You should be able to chose to specify what node(truck function) the thest belongs to.
You should be able to add a description of the test and an expected result.
You should be able to chose for which variants and product class the test case are valid for.
You should be able to select a category for which the test belong(private, dev, Stable and other).
You should be able to select tags from a predefined list.
You should be able to add attachements.
You should be able to add from a predefined list  what tools are required for the test(multimeter, breakout cables etc.)
You should be able to add a test case comment just visible for local editiors,and test leaders.
</v>
      </c>
      <c r="C5" s="46">
        <f>'Acceptance Tests'!K9</f>
        <v>0</v>
      </c>
      <c r="D5" s="46" t="str">
        <f>'Acceptance Tests'!L9</f>
        <v>TCR1</v>
      </c>
      <c r="E5" s="46">
        <f>'Acceptance Tests'!P9</f>
        <v>0</v>
      </c>
      <c r="F5" s="47">
        <f>'Acceptance Tests'!T9</f>
        <v>0</v>
      </c>
      <c r="G5" s="48">
        <f>'Acceptance Tests'!Y9</f>
        <v>0</v>
      </c>
      <c r="H5" s="48">
        <f>'Acceptance Tests'!Z9</f>
        <v>0</v>
      </c>
    </row>
    <row r="6" spans="1:8" ht="67.5" x14ac:dyDescent="0.2">
      <c r="A6" s="46">
        <f>'Acceptance Tests'!A10</f>
        <v>0</v>
      </c>
      <c r="B6" s="46" t="str">
        <f>'Acceptance Tests'!D10</f>
        <v xml:space="preserve">GIVEN you are logged in as test lead, local editor, master editor
WHEN chosing to edit a test case
THEN You should be able to edit data and save the test case.
Test case will get a new version.
The change will be logged(who and when).
</v>
      </c>
      <c r="C6" s="46">
        <f>'Acceptance Tests'!K10</f>
        <v>0</v>
      </c>
      <c r="D6" s="46" t="str">
        <f>'Acceptance Tests'!L10</f>
        <v>TCR2</v>
      </c>
      <c r="E6" s="46">
        <f>'Acceptance Tests'!P10</f>
        <v>0</v>
      </c>
      <c r="F6" s="47">
        <f>'Acceptance Tests'!T10</f>
        <v>0</v>
      </c>
      <c r="G6" s="48">
        <f>'Acceptance Tests'!Y10</f>
        <v>0</v>
      </c>
      <c r="H6" s="48">
        <f>'Acceptance Tests'!Z10</f>
        <v>0</v>
      </c>
    </row>
    <row r="7" spans="1:8" ht="33.75" x14ac:dyDescent="0.2">
      <c r="A7" s="46">
        <f>'Acceptance Tests'!A11</f>
        <v>0</v>
      </c>
      <c r="B7" s="46" t="str">
        <f>'Acceptance Tests'!D11</f>
        <v>GIVEN you are logged in to the system
WHEN chosing to view a test case
THEN You should be able to see the data connected to the test case</v>
      </c>
      <c r="C7" s="46">
        <f>'Acceptance Tests'!K11</f>
        <v>0</v>
      </c>
      <c r="D7" s="46" t="str">
        <f>'Acceptance Tests'!L11</f>
        <v>TCR3</v>
      </c>
      <c r="E7" s="46">
        <f>'Acceptance Tests'!P11</f>
        <v>0</v>
      </c>
      <c r="F7" s="47">
        <f>'Acceptance Tests'!T11</f>
        <v>0</v>
      </c>
      <c r="G7" s="48">
        <f>'Acceptance Tests'!Y11</f>
        <v>0</v>
      </c>
      <c r="H7" s="48">
        <f>'Acceptance Tests'!Z11</f>
        <v>0</v>
      </c>
    </row>
    <row r="8" spans="1:8" ht="67.5" x14ac:dyDescent="0.2">
      <c r="A8" s="46">
        <f>'Acceptance Tests'!A12</f>
        <v>0</v>
      </c>
      <c r="B8" s="46" t="str">
        <f>'Acceptance Tests'!D12</f>
        <v>GIVEN You are logged in as Master editor to the system
WHEN selecting multiple test cases for editing
THEN You should be able to sort and select test cases and replace words in description and expected results for the selected test cases  or add or remove variants\product classes</v>
      </c>
      <c r="C8" s="46">
        <f>'Acceptance Tests'!K12</f>
        <v>0</v>
      </c>
      <c r="D8" s="46">
        <f>'Acceptance Tests'!L12</f>
        <v>0</v>
      </c>
      <c r="E8" s="46" t="str">
        <f>'Acceptance Tests'!P12</f>
        <v>AM] As a Master Editor, I want to select multiple test cases and make the same change/addition to all of them. Get away from repetitive and time consuming work.
Find &amp; Replace words in test case
 Add/remove variants / product classes</v>
      </c>
      <c r="F8" s="47">
        <f>'Acceptance Tests'!T12</f>
        <v>0</v>
      </c>
      <c r="G8" s="48">
        <f>'Acceptance Tests'!Y12</f>
        <v>0</v>
      </c>
      <c r="H8" s="48">
        <f>'Acceptance Tests'!Z12</f>
        <v>0</v>
      </c>
    </row>
    <row r="9" spans="1:8" ht="56.25" x14ac:dyDescent="0.2">
      <c r="A9" s="46">
        <f>'Acceptance Tests'!A13</f>
        <v>0</v>
      </c>
      <c r="B9" s="46" t="str">
        <f>'Acceptance Tests'!D13</f>
        <v>GIVEN You are logged in as Master editor to the system
WHEN You select to view a log of test case changes.
THEN You should get a log specifying when it was changed and  it should be possible to see what was changed between two dates. Export-possibility to share information with stakeholders outside system.</v>
      </c>
      <c r="C9" s="46">
        <f>'Acceptance Tests'!K13</f>
        <v>0</v>
      </c>
      <c r="D9" s="46">
        <f>'Acceptance Tests'!L13</f>
        <v>0</v>
      </c>
      <c r="E9" s="46" t="str">
        <f>'Acceptance Tests'!P13</f>
        <v>AM] As a Master Editor, I want a changelog of all changes made in test cases and be able to export a list of changes between two dates. To inform interested parties of changes made.</v>
      </c>
      <c r="F9" s="47">
        <f>'Acceptance Tests'!T13</f>
        <v>0</v>
      </c>
      <c r="G9" s="48">
        <f>'Acceptance Tests'!Y13</f>
        <v>0</v>
      </c>
      <c r="H9" s="48">
        <f>'Acceptance Tests'!Z13</f>
        <v>0</v>
      </c>
    </row>
    <row r="10" spans="1:8" ht="45" x14ac:dyDescent="0.2">
      <c r="A10" s="46">
        <f>'Acceptance Tests'!A14</f>
        <v>0</v>
      </c>
      <c r="B10" s="46" t="str">
        <f>'Acceptance Tests'!D14</f>
        <v>GIVEN You are logged in as Master editor to the system
WHEN Chosing a test sequence or a test case
THEN You should be able to see when test sequence or tests within the sequence were latest used. (This is needed to be able to sort\hide or remove test cases).</v>
      </c>
      <c r="C10" s="46">
        <f>'Acceptance Tests'!K14</f>
        <v>0</v>
      </c>
      <c r="D10" s="46">
        <f>'Acceptance Tests'!L14</f>
        <v>0</v>
      </c>
      <c r="E10" s="46" t="str">
        <f>'Acceptance Tests'!P14</f>
        <v>[AM] As a Master Editor, I want to see when a test case and test sequence was last used (Exported). To be able to manage (delete/hide/sort) unused test cases and sequences.</v>
      </c>
      <c r="F10" s="47">
        <f>'Acceptance Tests'!T14</f>
        <v>0</v>
      </c>
      <c r="G10" s="48">
        <f>'Acceptance Tests'!Y14</f>
        <v>0</v>
      </c>
      <c r="H10" s="48">
        <f>'Acceptance Tests'!Z14</f>
        <v>0</v>
      </c>
    </row>
    <row r="11" spans="1:8" ht="45" x14ac:dyDescent="0.2">
      <c r="A11" s="46">
        <f>'Acceptance Tests'!A15</f>
        <v>0</v>
      </c>
      <c r="B11" s="46" t="str">
        <f>'Acceptance Tests'!D15</f>
        <v>GIVEN You are logged in as Master editor to the system
WHEN When updating a test case creating a new version
THEN You should be able to address owners of custom test sequence about the change through the system. Be able to send out a  notice or similar.</v>
      </c>
      <c r="C11" s="46">
        <f>'Acceptance Tests'!K15</f>
        <v>0</v>
      </c>
      <c r="D11" s="46">
        <f>'Acceptance Tests'!L15</f>
        <v>0</v>
      </c>
      <c r="E11" s="46" t="str">
        <f>'Acceptance Tests'!P15</f>
        <v>AM] As a Master Editor, when updating a existing test case (creating a new version) I want to be able to send out a notice to the oweners of custom test sequences using the test case.</v>
      </c>
      <c r="F11" s="47">
        <f>'Acceptance Tests'!T15</f>
        <v>0</v>
      </c>
      <c r="G11" s="48">
        <f>'Acceptance Tests'!Y15</f>
        <v>0</v>
      </c>
      <c r="H11" s="48">
        <f>'Acceptance Tests'!Z15</f>
        <v>0</v>
      </c>
    </row>
    <row r="12" spans="1:8" ht="33.75" x14ac:dyDescent="0.2">
      <c r="A12" s="46">
        <f>'Acceptance Tests'!A16</f>
        <v>0</v>
      </c>
      <c r="B12" s="46" t="str">
        <f>'Acceptance Tests'!D16</f>
        <v xml:space="preserve">GIVEN You are logged in as Master editor to the system
WHEN 
THEN </v>
      </c>
      <c r="C12" s="46">
        <f>'Acceptance Tests'!K16</f>
        <v>0</v>
      </c>
      <c r="D12" s="46">
        <f>'Acceptance Tests'!L16</f>
        <v>0</v>
      </c>
      <c r="E12" s="46" t="str">
        <f>'Acceptance Tests'!P16</f>
        <v>[AM] As a Master Editor I would like the possiblity to keep an old version of a test case. Getting a notice when a new version of a test case is available.</v>
      </c>
      <c r="F12" s="47">
        <f>'Acceptance Tests'!T16</f>
        <v>0</v>
      </c>
      <c r="G12" s="48">
        <f>'Acceptance Tests'!Y16</f>
        <v>0</v>
      </c>
      <c r="H12" s="48">
        <f>'Acceptance Tests'!Z16</f>
        <v>0</v>
      </c>
    </row>
    <row r="13" spans="1:8" ht="45" x14ac:dyDescent="0.2">
      <c r="A13" s="46">
        <f>'Acceptance Tests'!A17</f>
        <v>0</v>
      </c>
      <c r="B13" s="46" t="str">
        <f>'Acceptance Tests'!D17</f>
        <v>GIVEN You are logged in as Master editor to the system
WHEN You should be able to search test cases for different categories(truck functions).
THEN Should be possible to view test cases for different categories (truck functions)</v>
      </c>
      <c r="C13" s="46">
        <f>'Acceptance Tests'!K17</f>
        <v>0</v>
      </c>
      <c r="D13" s="46">
        <f>'Acceptance Tests'!L17</f>
        <v>0</v>
      </c>
      <c r="E13" s="46" t="str">
        <f>'Acceptance Tests'!P17</f>
        <v>AM] As a Local Editor, I want to have a good overview of how many test cases and of what type in all categories (truck functions). To have a quick way of detecting areas missing test cases or having too many.</v>
      </c>
      <c r="F13" s="47">
        <f>'Acceptance Tests'!T17</f>
        <v>0</v>
      </c>
      <c r="G13" s="48">
        <f>'Acceptance Tests'!Y17</f>
        <v>0</v>
      </c>
      <c r="H13" s="48">
        <f>'Acceptance Tests'!Z17</f>
        <v>0</v>
      </c>
    </row>
    <row r="14" spans="1:8" ht="45" x14ac:dyDescent="0.2">
      <c r="A14" s="46">
        <f>'Acceptance Tests'!A18</f>
        <v>0</v>
      </c>
      <c r="B14" s="46" t="str">
        <f>'Acceptance Tests'!D18</f>
        <v>GIVEN You are logged in as Local editor to the system
WHEN When chosing to view test cases
THEN You should have an easy overview of test cases and a possibility to easily extract or share the data with people with no access to the system</v>
      </c>
      <c r="C14" s="46">
        <f>'Acceptance Tests'!K18</f>
        <v>0</v>
      </c>
      <c r="D14" s="46">
        <f>'Acceptance Tests'!L18</f>
        <v>0</v>
      </c>
      <c r="E14" s="46" t="str">
        <f>'Acceptance Tests'!P18</f>
        <v>AM] As a Local Editor, I want to have a quick and easy way of selecting test cases and export them. When receiving requests from people without access to the system to look at specific test cases.</v>
      </c>
      <c r="F14" s="47">
        <f>'Acceptance Tests'!T18</f>
        <v>0</v>
      </c>
      <c r="G14" s="48">
        <f>'Acceptance Tests'!Y18</f>
        <v>0</v>
      </c>
      <c r="H14" s="48">
        <f>'Acceptance Tests'!Z18</f>
        <v>0</v>
      </c>
    </row>
    <row r="15" spans="1:8" ht="33.75" x14ac:dyDescent="0.2">
      <c r="A15" s="46">
        <f>'Acceptance Tests'!A19</f>
        <v>0</v>
      </c>
      <c r="B15" s="46" t="str">
        <f>'Acceptance Tests'!D19</f>
        <v>GIVEN You are logged in as Local editor to the system
WHEN when  choosing a variant for a specific product class
THEN You should see valid test cases for that variant and product class combination.</v>
      </c>
      <c r="C15" s="46">
        <f>'Acceptance Tests'!K19</f>
        <v>0</v>
      </c>
      <c r="D15" s="46">
        <f>'Acceptance Tests'!L19</f>
        <v>0</v>
      </c>
      <c r="E15" s="46">
        <f>'Acceptance Tests'!P19</f>
        <v>0</v>
      </c>
      <c r="F15" s="47">
        <f>'Acceptance Tests'!T19</f>
        <v>0</v>
      </c>
      <c r="G15" s="48">
        <f>'Acceptance Tests'!Y19</f>
        <v>0</v>
      </c>
      <c r="H15" s="48">
        <f>'Acceptance Tests'!Z19</f>
        <v>0</v>
      </c>
    </row>
    <row r="16" spans="1:8" ht="56.25" x14ac:dyDescent="0.2">
      <c r="A16" s="46">
        <f>'Acceptance Tests'!A20</f>
        <v>0</v>
      </c>
      <c r="B16" s="46" t="str">
        <f>'Acceptance Tests'!D20</f>
        <v>GIVEN You are logged in as test lead
WHEN when coosing one or more test cases and tag them with predefined tags as( back office, features, testcase version, navigation, raining, snow).  You should be able to add tags to one or more test cases
THEN Test cases should be updated with the tag.</v>
      </c>
      <c r="C16" s="46">
        <f>'Acceptance Tests'!K20</f>
        <v>0</v>
      </c>
      <c r="D16" s="46">
        <f>'Acceptance Tests'!L20</f>
        <v>0</v>
      </c>
      <c r="E16" s="46">
        <f>'Acceptance Tests'!P20</f>
        <v>0</v>
      </c>
      <c r="F16" s="47">
        <f>'Acceptance Tests'!T20</f>
        <v>0</v>
      </c>
      <c r="G16" s="48">
        <f>'Acceptance Tests'!Y20</f>
        <v>0</v>
      </c>
      <c r="H16" s="48">
        <f>'Acceptance Tests'!Z20</f>
        <v>0</v>
      </c>
    </row>
    <row r="17" spans="1:9" ht="33.75" x14ac:dyDescent="0.2">
      <c r="A17" s="46">
        <f>'Acceptance Tests'!A21</f>
        <v>0</v>
      </c>
      <c r="B17" s="46" t="str">
        <f>'Acceptance Tests'!D21</f>
        <v xml:space="preserve">GIVEN You are logged in as Local editor to the system
WHEN 
THEN </v>
      </c>
      <c r="C17" s="46">
        <f>'Acceptance Tests'!K21</f>
        <v>0</v>
      </c>
      <c r="D17" s="46">
        <f>'Acceptance Tests'!L21</f>
        <v>0</v>
      </c>
      <c r="E17" s="46" t="str">
        <f>'Acceptance Tests'!P21</f>
        <v>[UR] As a Local Editor, I want a quick overview of the variants in a particular Product Class which do not have test cases so as to ensure no variant in a PC is missed from testing.</v>
      </c>
      <c r="F17" s="47">
        <f>'Acceptance Tests'!T21</f>
        <v>0</v>
      </c>
      <c r="G17" s="48">
        <f>'Acceptance Tests'!Y21</f>
        <v>0</v>
      </c>
      <c r="H17" s="48">
        <f>'Acceptance Tests'!Z21</f>
        <v>0</v>
      </c>
    </row>
    <row r="18" spans="1:9" ht="45" x14ac:dyDescent="0.2">
      <c r="A18" s="46">
        <f>'Acceptance Tests'!A22</f>
        <v>0</v>
      </c>
      <c r="B18" s="46" t="str">
        <f>'Acceptance Tests'!D22</f>
        <v xml:space="preserve">GIVEN You are logged in as Local editor to the system
WHEN 
THEN </v>
      </c>
      <c r="C18" s="46">
        <f>'Acceptance Tests'!K22</f>
        <v>0</v>
      </c>
      <c r="D18" s="46">
        <f>'Acceptance Tests'!L22</f>
        <v>0</v>
      </c>
      <c r="E18" s="46" t="str">
        <f>'Acceptance Tests'!P22</f>
        <v>UR] As a Local Editor, I want a platform where I can receive changes related to a Function directly from commodity in order to reduce the time to update test cases when any solution is changed</v>
      </c>
      <c r="F18" s="47">
        <f>'Acceptance Tests'!T22</f>
        <v>0</v>
      </c>
      <c r="G18" s="48">
        <f>'Acceptance Tests'!Y22</f>
        <v>0</v>
      </c>
      <c r="H18" s="48">
        <f>'Acceptance Tests'!Z22</f>
        <v>0</v>
      </c>
    </row>
    <row r="19" spans="1:9" ht="33.75" x14ac:dyDescent="0.2">
      <c r="A19" s="46">
        <f>'Acceptance Tests'!A23</f>
        <v>0</v>
      </c>
      <c r="B19" s="46" t="str">
        <f>'Acceptance Tests'!D23</f>
        <v xml:space="preserve">GIVEN You are logged in as Test leader to the system
WHEN 
THEN </v>
      </c>
      <c r="C19" s="46">
        <f>'Acceptance Tests'!K23</f>
        <v>0</v>
      </c>
      <c r="D19" s="46">
        <f>'Acceptance Tests'!L23</f>
        <v>0</v>
      </c>
      <c r="E19" s="46" t="str">
        <f>'Acceptance Tests'!P23</f>
        <v>[TL] As a test engineer, I want to be able to in some way mark a testcode so it is not available to perform until another testcase is finished.(or task performed by test leader)</v>
      </c>
      <c r="F19" s="47">
        <f>'Acceptance Tests'!T23</f>
        <v>0</v>
      </c>
      <c r="G19" s="48">
        <f>'Acceptance Tests'!Y23</f>
        <v>0</v>
      </c>
      <c r="H19" s="48">
        <f>'Acceptance Tests'!Z23</f>
        <v>0</v>
      </c>
    </row>
    <row r="20" spans="1:9" ht="45" x14ac:dyDescent="0.2">
      <c r="A20" s="46">
        <f>'Acceptance Tests'!A24</f>
        <v>0</v>
      </c>
      <c r="B20" s="46" t="str">
        <f>'Acceptance Tests'!D24</f>
        <v>GIVEN You are logged in as Test leader to the system
WHEN Editing a test case you should have the possibility to add tags to the test case from a pre-defined list.
THEN Test case should be updated with the tags and tags should be visible for the test case</v>
      </c>
      <c r="C20" s="46">
        <f>'Acceptance Tests'!K24</f>
        <v>0</v>
      </c>
      <c r="D20" s="46">
        <f>'Acceptance Tests'!L24</f>
        <v>0</v>
      </c>
      <c r="E20" s="46" t="str">
        <f>'Acceptance Tests'!P24</f>
        <v>[TL] As a test engineer, I want to be able to mark the testcases with different tags as back office, features, testcase version, navigation, raining, snow etc</v>
      </c>
      <c r="F20" s="47">
        <f>'Acceptance Tests'!T24</f>
        <v>0</v>
      </c>
      <c r="G20" s="48">
        <f>'Acceptance Tests'!Y24</f>
        <v>0</v>
      </c>
      <c r="H20" s="48">
        <f>'Acceptance Tests'!Z24</f>
        <v>0</v>
      </c>
    </row>
    <row r="21" spans="1:9" ht="67.5" x14ac:dyDescent="0.2">
      <c r="A21" s="46">
        <f>'Acceptance Tests'!A25</f>
        <v>0</v>
      </c>
      <c r="B21" s="46" t="str">
        <f>'Acceptance Tests'!D25</f>
        <v xml:space="preserve">GIVEN You are logged in as Test leader to the system
WHEN 
THEN </v>
      </c>
      <c r="C21" s="46">
        <f>'Acceptance Tests'!K25</f>
        <v>0</v>
      </c>
      <c r="D21" s="46">
        <f>'Acceptance Tests'!L25</f>
        <v>0</v>
      </c>
      <c r="E21" s="46" t="str">
        <f>'Acceptance Tests'!P25</f>
        <v>[TL] As a test engineer, I want that the testcases get a way to see status of it. new, ok, ok from function owner, old, generic, do not use etc. Has the test case been generated from experience of field test, is it a function owner who has added/edited the test case or is it a PVT experience that generated the test case? Is it a new test case or an old test case (version number).</v>
      </c>
      <c r="F21" s="47">
        <f>'Acceptance Tests'!T25</f>
        <v>0</v>
      </c>
      <c r="G21" s="48">
        <f>'Acceptance Tests'!Y25</f>
        <v>0</v>
      </c>
      <c r="H21" s="48">
        <f>'Acceptance Tests'!Z25</f>
        <v>0</v>
      </c>
    </row>
    <row r="22" spans="1:9" ht="45" x14ac:dyDescent="0.2">
      <c r="A22" s="46">
        <f>'Acceptance Tests'!A26</f>
        <v>0</v>
      </c>
      <c r="B22" s="46" t="str">
        <f>'Acceptance Tests'!D26</f>
        <v>GIVEN You are logged in as Test leader to the system
WHEN Editing a test case you should have the possibility to add attachements to a test case
THEN The attachement should be added to the test case and it should be possible to click the attachement viewing the test case</v>
      </c>
      <c r="C22" s="46">
        <f>'Acceptance Tests'!K26</f>
        <v>0</v>
      </c>
      <c r="D22" s="46">
        <f>'Acceptance Tests'!L26</f>
        <v>0</v>
      </c>
      <c r="E22" s="46" t="str">
        <f>'Acceptance Tests'!P26</f>
        <v>[TL] As a test engineer, I want to be able to add picture or video to test case.</v>
      </c>
      <c r="F22" s="47">
        <f>'Acceptance Tests'!T26</f>
        <v>0</v>
      </c>
      <c r="G22" s="48">
        <f>'Acceptance Tests'!Y26</f>
        <v>0</v>
      </c>
      <c r="H22" s="48">
        <f>'Acceptance Tests'!Z26</f>
        <v>0</v>
      </c>
    </row>
    <row r="23" spans="1:9" ht="56.25" x14ac:dyDescent="0.2">
      <c r="A23" s="46">
        <f>'Acceptance Tests'!A27</f>
        <v>0</v>
      </c>
      <c r="B23" s="46" t="str">
        <f>'Acceptance Tests'!D27</f>
        <v>GIVEN You are logged in as Test leader to the system
WHEN Creating a test sequence you should be able to filter on product class and variants to find valid test cases for your test sequence. You should be able to select all or parts of the test cases and add to your sequence. Then you can save it.
THEN Test sequence should be saved with  the name you chose.</v>
      </c>
      <c r="C23" s="46">
        <f>'Acceptance Tests'!K27</f>
        <v>0</v>
      </c>
      <c r="D23" s="46">
        <f>'Acceptance Tests'!L27</f>
        <v>0</v>
      </c>
      <c r="E23" s="46" t="str">
        <f>'Acceptance Tests'!P27</f>
        <v>[TL] As a test engineer, I want to be able to create test sequences from product class and variants. It should be possible to sort from different tags or marks.</v>
      </c>
      <c r="F23" s="47">
        <f>'Acceptance Tests'!T27</f>
        <v>0</v>
      </c>
      <c r="G23" s="48">
        <f>'Acceptance Tests'!Y27</f>
        <v>0</v>
      </c>
      <c r="H23" s="48">
        <f>'Acceptance Tests'!Z27</f>
        <v>0</v>
      </c>
    </row>
    <row r="24" spans="1:9" ht="33.75" x14ac:dyDescent="0.2">
      <c r="A24" s="46">
        <f>'Acceptance Tests'!A28</f>
        <v>0</v>
      </c>
      <c r="B24" s="46" t="str">
        <f>'Acceptance Tests'!D28</f>
        <v xml:space="preserve">GIVEN 
WHEN 
THEN </v>
      </c>
      <c r="C24" s="46">
        <f>'Acceptance Tests'!K28</f>
        <v>0</v>
      </c>
      <c r="D24" s="46">
        <f>'Acceptance Tests'!L28</f>
        <v>0</v>
      </c>
      <c r="E24" s="46" t="str">
        <f>'Acceptance Tests'!P28</f>
        <v>As a test engineer, I want to be able to add test cases from other product classes, variants or development test cases.</v>
      </c>
      <c r="F24" s="47">
        <f>'Acceptance Tests'!T28</f>
        <v>0</v>
      </c>
      <c r="G24" s="48">
        <f>'Acceptance Tests'!Y28</f>
        <v>0</v>
      </c>
      <c r="H24" s="48">
        <f>'Acceptance Tests'!Z28</f>
        <v>0</v>
      </c>
    </row>
    <row r="25" spans="1:9" ht="45" x14ac:dyDescent="0.2">
      <c r="A25" s="46">
        <f>'Acceptance Tests'!A29</f>
        <v>0</v>
      </c>
      <c r="B25" s="46" t="str">
        <f>'Acceptance Tests'!D29</f>
        <v>GIVEN You are logged in as global responsible
WHEN Searching for test cases or clicking on a test case there should always be an english description and result text for it.
THEN You should be presented with English text.</v>
      </c>
      <c r="C25" s="46">
        <f>'Acceptance Tests'!K29</f>
        <v>0</v>
      </c>
      <c r="D25" s="46">
        <f>'Acceptance Tests'!L29</f>
        <v>0</v>
      </c>
      <c r="E25" s="46" t="str">
        <f>'Acceptance Tests'!P29</f>
        <v>[TL] As a global responsible, I want that there always is a English testcase in the background for all testcases so you can check all tests done on it.</v>
      </c>
      <c r="F25" s="47">
        <f>'Acceptance Tests'!T29</f>
        <v>0</v>
      </c>
      <c r="G25" s="48">
        <f>'Acceptance Tests'!Y29</f>
        <v>0</v>
      </c>
      <c r="H25" s="48">
        <f>'Acceptance Tests'!Z29</f>
        <v>0</v>
      </c>
    </row>
    <row r="26" spans="1:9" ht="33.75" x14ac:dyDescent="0.2">
      <c r="A26" s="46">
        <f>'Acceptance Tests'!A30</f>
        <v>0</v>
      </c>
      <c r="B26" s="46" t="str">
        <f>'Acceptance Tests'!D30</f>
        <v xml:space="preserve">GIVEN 
WHEN 
THEN </v>
      </c>
      <c r="C26" s="46">
        <f>'Acceptance Tests'!K30</f>
        <v>0</v>
      </c>
      <c r="D26" s="46">
        <f>'Acceptance Tests'!L30</f>
        <v>0</v>
      </c>
      <c r="E26" s="46" t="str">
        <f>'Acceptance Tests'!P30</f>
        <v>[TL] As a global responsible, I want to be able to see all variants of the testcase for all specs and product classes</v>
      </c>
      <c r="F26" s="47">
        <f>'Acceptance Tests'!T30</f>
        <v>0</v>
      </c>
      <c r="G26" s="48">
        <f>'Acceptance Tests'!Y30</f>
        <v>0</v>
      </c>
      <c r="H26" s="48">
        <f>'Acceptance Tests'!Z30</f>
        <v>0</v>
      </c>
    </row>
    <row r="27" spans="1:9" ht="33.75" x14ac:dyDescent="0.2">
      <c r="A27" s="46">
        <f>'Acceptance Tests'!A31</f>
        <v>0</v>
      </c>
      <c r="B27" s="46" t="str">
        <f>'Acceptance Tests'!D31</f>
        <v xml:space="preserve">GIVEN You are logged in as Test leader to the system
WHEN 
THEN </v>
      </c>
      <c r="C27" s="46">
        <f>'Acceptance Tests'!K31</f>
        <v>0</v>
      </c>
      <c r="D27" s="46">
        <f>'Acceptance Tests'!L31</f>
        <v>0</v>
      </c>
      <c r="E27" s="46" t="str">
        <f>'Acceptance Tests'!P31</f>
        <v>[CL] As a test engineer, i want to store my test sequences automatically in easy to find location within the tool.</v>
      </c>
      <c r="F27" s="47">
        <f>'Acceptance Tests'!T31</f>
        <v>0</v>
      </c>
      <c r="G27" s="48">
        <f>'Acceptance Tests'!Y31</f>
        <v>0</v>
      </c>
      <c r="H27" s="48">
        <f>'Acceptance Tests'!Z31</f>
        <v>0</v>
      </c>
    </row>
    <row r="28" spans="1:9" ht="33.75" x14ac:dyDescent="0.2">
      <c r="A28" s="46">
        <f>'Acceptance Tests'!A32</f>
        <v>0</v>
      </c>
      <c r="B28" s="46" t="str">
        <f>'Acceptance Tests'!D32</f>
        <v xml:space="preserve">GIVEN 
WHEN 
THEN </v>
      </c>
      <c r="C28" s="46">
        <f>'Acceptance Tests'!K32</f>
        <v>0</v>
      </c>
      <c r="D28" s="46">
        <f>'Acceptance Tests'!L32</f>
        <v>0</v>
      </c>
      <c r="E28" s="46" t="str">
        <f>'Acceptance Tests'!P32</f>
        <v>[AM] As a Master Editor, I want to get feedback right away when a change is made in variant filter. If product classes are included, if a variant exist in product class. "Extended syntax check"</v>
      </c>
      <c r="F28" s="47">
        <f>'Acceptance Tests'!T32</f>
        <v>0</v>
      </c>
      <c r="G28" s="48">
        <f>'Acceptance Tests'!Y32</f>
        <v>0</v>
      </c>
      <c r="H28" s="48">
        <f>'Acceptance Tests'!Z32</f>
        <v>0</v>
      </c>
    </row>
    <row r="29" spans="1:9" x14ac:dyDescent="0.2">
      <c r="E29" s="44" t="str">
        <f>'Acceptance Tests'!P33</f>
        <v>SUBTOTAL</v>
      </c>
      <c r="F29" s="49">
        <f>'Acceptance Tests'!T33</f>
        <v>0.1</v>
      </c>
      <c r="G29" s="48">
        <f>'Acceptance Tests'!Y33</f>
        <v>0</v>
      </c>
      <c r="H29" s="48">
        <f>'Acceptance Tests'!Z33</f>
        <v>0</v>
      </c>
      <c r="I29" s="135">
        <f>'Acceptance Tests'!AD34</f>
        <v>0</v>
      </c>
    </row>
    <row r="30" spans="1:9" x14ac:dyDescent="0.2">
      <c r="E30" s="44" t="str">
        <f>'Acceptance Tests'!P34</f>
        <v>SUBTOTAL</v>
      </c>
      <c r="F30" s="49">
        <f>'Acceptance Tests'!T34</f>
        <v>0.25</v>
      </c>
      <c r="G30" s="48">
        <f>'Acceptance Tests'!Y34</f>
        <v>0</v>
      </c>
      <c r="H30" s="48">
        <f>'Acceptance Tests'!Z34</f>
        <v>0</v>
      </c>
      <c r="I30" s="135">
        <f>'Acceptance Tests'!AD35</f>
        <v>0</v>
      </c>
    </row>
    <row r="31" spans="1:9" x14ac:dyDescent="0.2">
      <c r="E31" s="44" t="str">
        <f>'Acceptance Tests'!P35</f>
        <v>SUBTOTAL</v>
      </c>
      <c r="F31" s="49">
        <f>'Acceptance Tests'!T35</f>
        <v>0.4</v>
      </c>
      <c r="G31" s="48">
        <f>'Acceptance Tests'!Y35</f>
        <v>0</v>
      </c>
      <c r="H31" s="48">
        <f>'Acceptance Tests'!Z35</f>
        <v>0</v>
      </c>
      <c r="I31" s="135">
        <f>'Acceptance Tests'!AD36</f>
        <v>0</v>
      </c>
    </row>
    <row r="32" spans="1:9" x14ac:dyDescent="0.2">
      <c r="E32" s="44" t="str">
        <f>'Acceptance Tests'!P36</f>
        <v>SUM</v>
      </c>
      <c r="F32" s="44" t="str">
        <f>'Acceptance Tests'!T36</f>
        <v>TOTAL</v>
      </c>
      <c r="G32" s="48">
        <f>'Acceptance Tests'!Y36</f>
        <v>0</v>
      </c>
      <c r="H32" s="48">
        <f>'Acceptance Tests'!Z36</f>
        <v>0</v>
      </c>
      <c r="I32" s="135">
        <f>'Acceptance Tests'!AD37</f>
        <v>0</v>
      </c>
    </row>
    <row r="33" spans="5:9" x14ac:dyDescent="0.2">
      <c r="E33" s="44" t="str">
        <f>'Acceptance Tests'!P37</f>
        <v>Out of Scope</v>
      </c>
      <c r="F33" s="44" t="str">
        <f>'Acceptance Tests'!T37</f>
        <v>OoS</v>
      </c>
      <c r="G33" s="48">
        <f>'Acceptance Tests'!Y37</f>
        <v>0</v>
      </c>
      <c r="H33" s="48">
        <f>'Acceptance Tests'!Z37</f>
        <v>0</v>
      </c>
      <c r="I33" s="135">
        <f>'Acceptance Tests'!AD38</f>
        <v>0</v>
      </c>
    </row>
    <row r="34" spans="5:9" x14ac:dyDescent="0.2">
      <c r="E34" s="46"/>
      <c r="F34" s="44" t="str">
        <f>'Acceptance Tests'!T38</f>
        <v>TOTAL</v>
      </c>
      <c r="G34" s="48">
        <f>'Acceptance Tests'!Y38</f>
        <v>0</v>
      </c>
      <c r="H34" s="48">
        <f>'Acceptance Tests'!Z38</f>
        <v>0</v>
      </c>
      <c r="I34" s="135">
        <f>'Acceptance Tests'!AD39</f>
        <v>0</v>
      </c>
    </row>
  </sheetData>
  <pageMargins left="0.7" right="0.7" top="0.75" bottom="0.75" header="0.3" footer="0.3"/>
  <pageSetup orientation="portrait" horizontalDpi="300" verticalDpi="0" copies="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heetPr>
  <dimension ref="A1:AE35"/>
  <sheetViews>
    <sheetView zoomScale="90" zoomScaleNormal="90" workbookViewId="0">
      <pane xSplit="5" ySplit="3" topLeftCell="F4" activePane="bottomRight" state="frozen"/>
      <selection pane="topRight" activeCell="B1" sqref="B1"/>
      <selection pane="bottomLeft" activeCell="A2" sqref="A2"/>
      <selection pane="bottomRight" activeCell="AD36" sqref="AD36"/>
    </sheetView>
  </sheetViews>
  <sheetFormatPr defaultColWidth="79.42578125" defaultRowHeight="12.75" x14ac:dyDescent="0.2"/>
  <cols>
    <col min="1" max="1" width="9.7109375" style="13" bestFit="1" customWidth="1"/>
    <col min="2" max="2" width="4" style="13" bestFit="1" customWidth="1"/>
    <col min="3" max="3" width="15.5703125" style="6" customWidth="1"/>
    <col min="4" max="4" width="15.28515625" style="57" bestFit="1" customWidth="1"/>
    <col min="5" max="5" width="12" style="6" customWidth="1"/>
    <col min="6" max="6" width="11.7109375" style="6" bestFit="1" customWidth="1"/>
    <col min="7" max="7" width="8.42578125" style="57" bestFit="1" customWidth="1"/>
    <col min="8" max="8" width="9.42578125" style="14" bestFit="1" customWidth="1"/>
    <col min="9" max="9" width="10.42578125" style="14" bestFit="1" customWidth="1"/>
    <col min="10" max="10" width="9.42578125" style="14" bestFit="1" customWidth="1"/>
    <col min="11" max="11" width="9.42578125" style="14" customWidth="1"/>
    <col min="12" max="12" width="9.5703125" style="14" hidden="1" customWidth="1"/>
    <col min="13" max="13" width="12" style="14" hidden="1" customWidth="1"/>
    <col min="14" max="14" width="9.42578125" style="14" bestFit="1" customWidth="1"/>
    <col min="15" max="15" width="10.42578125" style="14" bestFit="1" customWidth="1"/>
    <col min="16" max="20" width="9.42578125" style="14" bestFit="1" customWidth="1"/>
    <col min="21" max="21" width="6" style="14" bestFit="1" customWidth="1"/>
    <col min="22" max="23" width="12.85546875" style="14" customWidth="1"/>
    <col min="24" max="27" width="12.7109375" style="14" customWidth="1"/>
    <col min="28" max="28" width="16.140625" style="14" customWidth="1"/>
    <col min="29" max="29" width="16.5703125" style="14" customWidth="1"/>
    <col min="30" max="30" width="13.85546875" style="14" bestFit="1" customWidth="1"/>
    <col min="31" max="31" width="9.5703125" style="14" bestFit="1" customWidth="1"/>
    <col min="32" max="16384" width="79.42578125" style="13"/>
  </cols>
  <sheetData>
    <row r="1" spans="1:31" ht="15.75" x14ac:dyDescent="0.25">
      <c r="A1" s="147" t="s">
        <v>62</v>
      </c>
      <c r="B1" s="147"/>
      <c r="C1" s="147"/>
      <c r="D1" s="147"/>
      <c r="E1" s="147"/>
    </row>
    <row r="3" spans="1:31" s="17" customFormat="1" ht="38.25" x14ac:dyDescent="0.2">
      <c r="A3" s="54" t="s">
        <v>53</v>
      </c>
      <c r="B3" s="54" t="s">
        <v>29</v>
      </c>
      <c r="C3" s="54" t="s">
        <v>52</v>
      </c>
      <c r="D3" s="56" t="s">
        <v>63</v>
      </c>
      <c r="E3" s="54" t="s">
        <v>42</v>
      </c>
      <c r="F3" s="54" t="s">
        <v>23</v>
      </c>
      <c r="G3" s="56" t="s">
        <v>25</v>
      </c>
      <c r="H3" s="55" t="s">
        <v>16</v>
      </c>
      <c r="I3" s="55" t="s">
        <v>18</v>
      </c>
      <c r="J3" s="55" t="s">
        <v>17</v>
      </c>
      <c r="K3" s="55" t="s">
        <v>19</v>
      </c>
      <c r="L3" s="55" t="s">
        <v>20</v>
      </c>
      <c r="M3" s="55" t="s">
        <v>21</v>
      </c>
      <c r="N3" s="55" t="s">
        <v>60</v>
      </c>
      <c r="O3" s="55" t="s">
        <v>61</v>
      </c>
      <c r="P3" s="55" t="s">
        <v>64</v>
      </c>
      <c r="Q3" s="55" t="s">
        <v>65</v>
      </c>
      <c r="R3" s="55" t="s">
        <v>66</v>
      </c>
      <c r="S3" s="55" t="s">
        <v>67</v>
      </c>
      <c r="T3" s="55" t="s">
        <v>68</v>
      </c>
      <c r="U3" s="55" t="s">
        <v>69</v>
      </c>
      <c r="V3" s="55" t="s">
        <v>70</v>
      </c>
      <c r="W3" s="55" t="s">
        <v>71</v>
      </c>
      <c r="X3" s="55" t="s">
        <v>72</v>
      </c>
      <c r="Y3" s="55" t="s">
        <v>73</v>
      </c>
      <c r="Z3" s="55" t="s">
        <v>80</v>
      </c>
      <c r="AA3" s="55" t="s">
        <v>81</v>
      </c>
      <c r="AB3" s="55" t="s">
        <v>74</v>
      </c>
      <c r="AC3" s="55" t="s">
        <v>75</v>
      </c>
      <c r="AD3" s="55" t="s">
        <v>76</v>
      </c>
      <c r="AE3" s="55" t="s">
        <v>77</v>
      </c>
    </row>
    <row r="4" spans="1:31" x14ac:dyDescent="0.2">
      <c r="A4" s="60" t="str">
        <f>CONCATENATE(B4,":",D4)</f>
        <v>:</v>
      </c>
      <c r="B4" s="61"/>
      <c r="C4" s="60" t="e">
        <f>VLOOKUP(B4,'Acceptance Tests'!$A$6:$D$32,COLUMN('Acceptance Tests'!$D$6)-COLUMN('Acceptance Tests'!$A$6)+1,FALSE)</f>
        <v>#N/A</v>
      </c>
      <c r="D4" s="63"/>
      <c r="E4" s="61"/>
      <c r="F4" s="62"/>
      <c r="G4" s="68" t="e">
        <f>VLOOKUP($B4,'Acceptance Tests'!A$6:N$32,COLUMN('Acceptance Tests'!N$6)-COLUMN('Acceptance Tests'!A$6)+1,FALSE)</f>
        <v>#N/A</v>
      </c>
      <c r="H4" s="69"/>
      <c r="I4" s="69"/>
      <c r="J4" s="69"/>
      <c r="K4" s="68">
        <f t="shared" ref="K4:K30" si="0">(H4+(3*J4)+I4)/5</f>
        <v>0</v>
      </c>
      <c r="L4" s="68">
        <f t="shared" ref="L4:L30" si="1">(I4-H4)/5</f>
        <v>0</v>
      </c>
      <c r="M4" s="68">
        <f t="shared" ref="M4:M31" si="2">L4*L4</f>
        <v>0</v>
      </c>
      <c r="N4" s="68">
        <f>ROUND(K4-(ROUND(SQRT(M4),0)),0)</f>
        <v>0</v>
      </c>
      <c r="O4" s="68">
        <f>ROUND(K4+(ROUND(SQRT(M4),0)),0)</f>
        <v>0</v>
      </c>
      <c r="P4" s="68">
        <f t="shared" ref="P4:P30" si="3">K4</f>
        <v>0</v>
      </c>
      <c r="Q4" s="70">
        <f t="shared" ref="Q4:Q19" si="4">P4</f>
        <v>0</v>
      </c>
      <c r="R4" s="70">
        <f t="shared" ref="R4:R30" si="5">Q4</f>
        <v>0</v>
      </c>
      <c r="S4" s="70">
        <f t="shared" ref="S4:S30" si="6">R4</f>
        <v>0</v>
      </c>
      <c r="T4" s="70">
        <f t="shared" ref="T4:T30" si="7">S4</f>
        <v>0</v>
      </c>
      <c r="U4" s="70">
        <f t="shared" ref="U4:U30" si="8">T4</f>
        <v>0</v>
      </c>
      <c r="V4" s="74" t="e">
        <f ca="1">SUMIF(G$4:G$30,G4,OFFSET(P$4:P$30,0,AE4))</f>
        <v>#N/A</v>
      </c>
      <c r="W4" s="74" t="e">
        <f ca="1">SUMIF(B$4:B$30,B4,OFFSET(P$4:P$30,0,AE4))</f>
        <v>#N/A</v>
      </c>
      <c r="X4" s="74" t="e">
        <f ca="1">IF(AND(W4=0,D4=1),B4,0)</f>
        <v>#N/A</v>
      </c>
      <c r="Y4" s="75" t="e">
        <f t="shared" ref="Y4:Y30" ca="1" si="9">IF($X4,SUMIF($B$4:$B$30,$B4,K$4:K$30),0)</f>
        <v>#N/A</v>
      </c>
      <c r="Z4" s="75" t="e">
        <f ca="1">IF($X4,SQRT(SUMIF($B$4:$B$30,$B4,M$4:M$30)),0)</f>
        <v>#N/A</v>
      </c>
      <c r="AA4" s="75" t="e">
        <f ca="1">IF($X4,Z4*Z4,0)</f>
        <v>#N/A</v>
      </c>
      <c r="AB4" s="75" t="e">
        <f ca="1">IF($X4,Y4-Z4,0)</f>
        <v>#N/A</v>
      </c>
      <c r="AC4" s="75" t="e">
        <f ca="1">IF($X4,Y4+Z4,0)</f>
        <v>#N/A</v>
      </c>
      <c r="AD4" s="59" t="s">
        <v>28</v>
      </c>
      <c r="AE4" s="59" t="e">
        <f>LOOKUP(G4,G$31:G$35,AE$31:AE$35)</f>
        <v>#N/A</v>
      </c>
    </row>
    <row r="5" spans="1:31" x14ac:dyDescent="0.2">
      <c r="A5" s="53" t="str">
        <f t="shared" ref="A5:A30" si="10">CONCATENATE(B5,":",D5)</f>
        <v>:</v>
      </c>
      <c r="B5" s="10"/>
      <c r="C5" s="60" t="e">
        <f>VLOOKUP(B5,'Acceptance Tests'!$A$6:$D$32,COLUMN('Acceptance Tests'!$D$6)-COLUMN('Acceptance Tests'!$A$6)+1,FALSE)</f>
        <v>#N/A</v>
      </c>
      <c r="D5" s="58"/>
      <c r="E5" s="10"/>
      <c r="F5" s="50"/>
      <c r="G5" s="68" t="e">
        <f>VLOOKUP($B5,'Acceptance Tests'!A$6:N$32,COLUMN('Acceptance Tests'!N$6)-COLUMN('Acceptance Tests'!A$6)+1,FALSE)</f>
        <v>#N/A</v>
      </c>
      <c r="H5" s="70"/>
      <c r="I5" s="70"/>
      <c r="J5" s="70"/>
      <c r="K5" s="71">
        <f t="shared" si="0"/>
        <v>0</v>
      </c>
      <c r="L5" s="71">
        <f t="shared" si="1"/>
        <v>0</v>
      </c>
      <c r="M5" s="71">
        <f t="shared" si="2"/>
        <v>0</v>
      </c>
      <c r="N5" s="71">
        <f t="shared" ref="N5:N31" si="11">ROUND(K5-(ROUND(SQRT(M5),0)),0)</f>
        <v>0</v>
      </c>
      <c r="O5" s="71">
        <f t="shared" ref="O5:O31" si="12">ROUND(K5+(ROUND(SQRT(M5),0)),0)</f>
        <v>0</v>
      </c>
      <c r="P5" s="71">
        <f t="shared" si="3"/>
        <v>0</v>
      </c>
      <c r="Q5" s="70">
        <f t="shared" si="4"/>
        <v>0</v>
      </c>
      <c r="R5" s="70">
        <f t="shared" si="5"/>
        <v>0</v>
      </c>
      <c r="S5" s="70">
        <f t="shared" si="6"/>
        <v>0</v>
      </c>
      <c r="T5" s="70">
        <f t="shared" si="7"/>
        <v>0</v>
      </c>
      <c r="U5" s="70">
        <f t="shared" si="8"/>
        <v>0</v>
      </c>
      <c r="V5" s="74" t="e">
        <f t="shared" ref="V5:V30" ca="1" si="13">SUMIF(G$4:G$30,G5,OFFSET(P$4:P$30,0,AE5))</f>
        <v>#N/A</v>
      </c>
      <c r="W5" s="74" t="e">
        <f t="shared" ref="W5:W30" ca="1" si="14">SUMIF(B$4:B$30,B5,OFFSET(P$4:P$30,0,AE5))</f>
        <v>#N/A</v>
      </c>
      <c r="X5" s="75" t="e">
        <f t="shared" ref="X5:X30" ca="1" si="15">IF(AND(W5=0,D5=1),B5,0)</f>
        <v>#N/A</v>
      </c>
      <c r="Y5" s="75" t="e">
        <f t="shared" ca="1" si="9"/>
        <v>#N/A</v>
      </c>
      <c r="Z5" s="75" t="e">
        <f t="shared" ref="Z5:Z30" ca="1" si="16">IF($X5,SQRT(SUMIF($B$4:$B$30,$B5,M$4:M$30)),0)</f>
        <v>#N/A</v>
      </c>
      <c r="AA5" s="75" t="e">
        <f t="shared" ref="AA5:AA30" ca="1" si="17">IF($X5,Z5*Z5,0)</f>
        <v>#N/A</v>
      </c>
      <c r="AB5" s="75" t="e">
        <f t="shared" ref="AB5:AB30" ca="1" si="18">IF($X5,Y5-Z5,0)</f>
        <v>#N/A</v>
      </c>
      <c r="AC5" s="75" t="e">
        <f t="shared" ref="AC5:AC30" ca="1" si="19">IF($X5,Y5+Z5,0)</f>
        <v>#N/A</v>
      </c>
      <c r="AD5" s="64" t="s">
        <v>28</v>
      </c>
      <c r="AE5" s="59" t="e">
        <f t="shared" ref="AE5:AE30" si="20">LOOKUP(G5,G$31:G$35,AE$31:AE$35)</f>
        <v>#N/A</v>
      </c>
    </row>
    <row r="6" spans="1:31" x14ac:dyDescent="0.2">
      <c r="A6" s="53" t="str">
        <f t="shared" si="10"/>
        <v>:</v>
      </c>
      <c r="B6" s="10"/>
      <c r="C6" s="60" t="e">
        <f>VLOOKUP(B6,'Acceptance Tests'!$A$6:$D$32,COLUMN('Acceptance Tests'!$D$6)-COLUMN('Acceptance Tests'!$A$6)+1,FALSE)</f>
        <v>#N/A</v>
      </c>
      <c r="D6" s="58"/>
      <c r="E6" s="10"/>
      <c r="F6" s="50"/>
      <c r="G6" s="68" t="e">
        <f>VLOOKUP($B6,'Acceptance Tests'!A$6:N$32,COLUMN('Acceptance Tests'!N$6)-COLUMN('Acceptance Tests'!A$6)+1,FALSE)</f>
        <v>#N/A</v>
      </c>
      <c r="H6" s="70"/>
      <c r="I6" s="70"/>
      <c r="J6" s="70"/>
      <c r="K6" s="71">
        <f t="shared" si="0"/>
        <v>0</v>
      </c>
      <c r="L6" s="71">
        <f t="shared" si="1"/>
        <v>0</v>
      </c>
      <c r="M6" s="71">
        <f t="shared" si="2"/>
        <v>0</v>
      </c>
      <c r="N6" s="71">
        <f t="shared" si="11"/>
        <v>0</v>
      </c>
      <c r="O6" s="71">
        <f t="shared" si="12"/>
        <v>0</v>
      </c>
      <c r="P6" s="71">
        <f t="shared" si="3"/>
        <v>0</v>
      </c>
      <c r="Q6" s="70">
        <f t="shared" si="4"/>
        <v>0</v>
      </c>
      <c r="R6" s="70">
        <f t="shared" si="5"/>
        <v>0</v>
      </c>
      <c r="S6" s="70">
        <f t="shared" si="6"/>
        <v>0</v>
      </c>
      <c r="T6" s="70">
        <f t="shared" si="7"/>
        <v>0</v>
      </c>
      <c r="U6" s="70">
        <f t="shared" si="8"/>
        <v>0</v>
      </c>
      <c r="V6" s="74" t="e">
        <f t="shared" ca="1" si="13"/>
        <v>#N/A</v>
      </c>
      <c r="W6" s="74" t="e">
        <f t="shared" ca="1" si="14"/>
        <v>#N/A</v>
      </c>
      <c r="X6" s="75" t="e">
        <f t="shared" ca="1" si="15"/>
        <v>#N/A</v>
      </c>
      <c r="Y6" s="75" t="e">
        <f t="shared" ca="1" si="9"/>
        <v>#N/A</v>
      </c>
      <c r="Z6" s="75" t="e">
        <f t="shared" ca="1" si="16"/>
        <v>#N/A</v>
      </c>
      <c r="AA6" s="75" t="e">
        <f t="shared" ca="1" si="17"/>
        <v>#N/A</v>
      </c>
      <c r="AB6" s="75" t="e">
        <f t="shared" ca="1" si="18"/>
        <v>#N/A</v>
      </c>
      <c r="AC6" s="75" t="e">
        <f t="shared" ca="1" si="19"/>
        <v>#N/A</v>
      </c>
      <c r="AD6" s="64" t="s">
        <v>28</v>
      </c>
      <c r="AE6" s="59" t="e">
        <f t="shared" si="20"/>
        <v>#N/A</v>
      </c>
    </row>
    <row r="7" spans="1:31" x14ac:dyDescent="0.2">
      <c r="A7" s="53" t="str">
        <f t="shared" si="10"/>
        <v>:</v>
      </c>
      <c r="B7" s="10"/>
      <c r="C7" s="60" t="e">
        <f>VLOOKUP(B7,'Acceptance Tests'!$A$6:$D$32,COLUMN('Acceptance Tests'!$D$6)-COLUMN('Acceptance Tests'!$A$6)+1,FALSE)</f>
        <v>#N/A</v>
      </c>
      <c r="D7" s="58"/>
      <c r="E7" s="10"/>
      <c r="F7" s="50"/>
      <c r="G7" s="68" t="e">
        <f>VLOOKUP($B7,'Acceptance Tests'!A$6:N$32,COLUMN('Acceptance Tests'!N$6)-COLUMN('Acceptance Tests'!A$6)+1,FALSE)</f>
        <v>#N/A</v>
      </c>
      <c r="H7" s="70"/>
      <c r="I7" s="70"/>
      <c r="J7" s="70"/>
      <c r="K7" s="71">
        <f t="shared" si="0"/>
        <v>0</v>
      </c>
      <c r="L7" s="71">
        <f t="shared" si="1"/>
        <v>0</v>
      </c>
      <c r="M7" s="71">
        <f t="shared" si="2"/>
        <v>0</v>
      </c>
      <c r="N7" s="71">
        <f t="shared" si="11"/>
        <v>0</v>
      </c>
      <c r="O7" s="71">
        <f t="shared" si="12"/>
        <v>0</v>
      </c>
      <c r="P7" s="71">
        <f t="shared" si="3"/>
        <v>0</v>
      </c>
      <c r="Q7" s="70">
        <f t="shared" si="4"/>
        <v>0</v>
      </c>
      <c r="R7" s="70">
        <f t="shared" si="5"/>
        <v>0</v>
      </c>
      <c r="S7" s="70">
        <f t="shared" si="6"/>
        <v>0</v>
      </c>
      <c r="T7" s="70">
        <f t="shared" si="7"/>
        <v>0</v>
      </c>
      <c r="U7" s="70">
        <f t="shared" si="8"/>
        <v>0</v>
      </c>
      <c r="V7" s="74" t="e">
        <f t="shared" ca="1" si="13"/>
        <v>#N/A</v>
      </c>
      <c r="W7" s="74" t="e">
        <f t="shared" ca="1" si="14"/>
        <v>#N/A</v>
      </c>
      <c r="X7" s="75" t="e">
        <f t="shared" ca="1" si="15"/>
        <v>#N/A</v>
      </c>
      <c r="Y7" s="75" t="e">
        <f t="shared" ca="1" si="9"/>
        <v>#N/A</v>
      </c>
      <c r="Z7" s="75" t="e">
        <f t="shared" ca="1" si="16"/>
        <v>#N/A</v>
      </c>
      <c r="AA7" s="75" t="e">
        <f t="shared" ca="1" si="17"/>
        <v>#N/A</v>
      </c>
      <c r="AB7" s="75" t="e">
        <f t="shared" ca="1" si="18"/>
        <v>#N/A</v>
      </c>
      <c r="AC7" s="75" t="e">
        <f t="shared" ca="1" si="19"/>
        <v>#N/A</v>
      </c>
      <c r="AD7" s="64" t="s">
        <v>28</v>
      </c>
      <c r="AE7" s="59" t="e">
        <f t="shared" si="20"/>
        <v>#N/A</v>
      </c>
    </row>
    <row r="8" spans="1:31" x14ac:dyDescent="0.2">
      <c r="A8" s="53" t="str">
        <f t="shared" si="10"/>
        <v>:</v>
      </c>
      <c r="B8" s="10"/>
      <c r="C8" s="60" t="e">
        <f>VLOOKUP(B8,'Acceptance Tests'!$A$6:$D$32,COLUMN('Acceptance Tests'!$D$6)-COLUMN('Acceptance Tests'!$A$6)+1,FALSE)</f>
        <v>#N/A</v>
      </c>
      <c r="D8" s="58"/>
      <c r="E8" s="10"/>
      <c r="F8" s="50"/>
      <c r="G8" s="68" t="e">
        <f>VLOOKUP($B8,'Acceptance Tests'!A$6:N$32,COLUMN('Acceptance Tests'!N$6)-COLUMN('Acceptance Tests'!A$6)+1,FALSE)</f>
        <v>#N/A</v>
      </c>
      <c r="H8" s="70"/>
      <c r="I8" s="70"/>
      <c r="J8" s="70"/>
      <c r="K8" s="71">
        <f t="shared" si="0"/>
        <v>0</v>
      </c>
      <c r="L8" s="71">
        <f t="shared" si="1"/>
        <v>0</v>
      </c>
      <c r="M8" s="71">
        <f t="shared" si="2"/>
        <v>0</v>
      </c>
      <c r="N8" s="71">
        <f t="shared" si="11"/>
        <v>0</v>
      </c>
      <c r="O8" s="71">
        <f t="shared" si="12"/>
        <v>0</v>
      </c>
      <c r="P8" s="71">
        <f t="shared" si="3"/>
        <v>0</v>
      </c>
      <c r="Q8" s="70">
        <f t="shared" si="4"/>
        <v>0</v>
      </c>
      <c r="R8" s="70">
        <f t="shared" si="5"/>
        <v>0</v>
      </c>
      <c r="S8" s="70">
        <f t="shared" si="6"/>
        <v>0</v>
      </c>
      <c r="T8" s="70">
        <f t="shared" si="7"/>
        <v>0</v>
      </c>
      <c r="U8" s="70">
        <f t="shared" si="8"/>
        <v>0</v>
      </c>
      <c r="V8" s="74" t="e">
        <f t="shared" ca="1" si="13"/>
        <v>#N/A</v>
      </c>
      <c r="W8" s="74" t="e">
        <f t="shared" ca="1" si="14"/>
        <v>#N/A</v>
      </c>
      <c r="X8" s="75" t="e">
        <f t="shared" ca="1" si="15"/>
        <v>#N/A</v>
      </c>
      <c r="Y8" s="75" t="e">
        <f t="shared" ca="1" si="9"/>
        <v>#N/A</v>
      </c>
      <c r="Z8" s="75" t="e">
        <f t="shared" ca="1" si="16"/>
        <v>#N/A</v>
      </c>
      <c r="AA8" s="75" t="e">
        <f t="shared" ca="1" si="17"/>
        <v>#N/A</v>
      </c>
      <c r="AB8" s="75" t="e">
        <f t="shared" ca="1" si="18"/>
        <v>#N/A</v>
      </c>
      <c r="AC8" s="75" t="e">
        <f t="shared" ca="1" si="19"/>
        <v>#N/A</v>
      </c>
      <c r="AD8" s="64" t="s">
        <v>28</v>
      </c>
      <c r="AE8" s="59" t="e">
        <f t="shared" si="20"/>
        <v>#N/A</v>
      </c>
    </row>
    <row r="9" spans="1:31" x14ac:dyDescent="0.2">
      <c r="A9" s="53" t="str">
        <f t="shared" si="10"/>
        <v>:</v>
      </c>
      <c r="B9" s="10"/>
      <c r="C9" s="60" t="e">
        <f>VLOOKUP(B9,'Acceptance Tests'!$A$6:$D$32,COLUMN('Acceptance Tests'!$D$6)-COLUMN('Acceptance Tests'!$A$6)+1,FALSE)</f>
        <v>#N/A</v>
      </c>
      <c r="D9" s="58"/>
      <c r="E9" s="10"/>
      <c r="F9" s="50"/>
      <c r="G9" s="68" t="e">
        <f>VLOOKUP($B9,'Acceptance Tests'!A$6:N$32,COLUMN('Acceptance Tests'!N$6)-COLUMN('Acceptance Tests'!A$6)+1,FALSE)</f>
        <v>#N/A</v>
      </c>
      <c r="H9" s="70"/>
      <c r="I9" s="70"/>
      <c r="J9" s="70"/>
      <c r="K9" s="71">
        <f t="shared" si="0"/>
        <v>0</v>
      </c>
      <c r="L9" s="71">
        <f t="shared" si="1"/>
        <v>0</v>
      </c>
      <c r="M9" s="71">
        <f>L9*L9</f>
        <v>0</v>
      </c>
      <c r="N9" s="71">
        <f>ROUND(K9-(ROUND(SQRT(M9),0)),0)</f>
        <v>0</v>
      </c>
      <c r="O9" s="71">
        <f>ROUND(K9+(ROUND(SQRT(M9),0)),0)</f>
        <v>0</v>
      </c>
      <c r="P9" s="71">
        <f t="shared" si="3"/>
        <v>0</v>
      </c>
      <c r="Q9" s="70">
        <f t="shared" si="4"/>
        <v>0</v>
      </c>
      <c r="R9" s="70">
        <f t="shared" si="5"/>
        <v>0</v>
      </c>
      <c r="S9" s="70">
        <f t="shared" si="6"/>
        <v>0</v>
      </c>
      <c r="T9" s="70">
        <f t="shared" si="7"/>
        <v>0</v>
      </c>
      <c r="U9" s="70">
        <f t="shared" si="8"/>
        <v>0</v>
      </c>
      <c r="V9" s="74" t="e">
        <f t="shared" ca="1" si="13"/>
        <v>#N/A</v>
      </c>
      <c r="W9" s="74" t="e">
        <f t="shared" ca="1" si="14"/>
        <v>#N/A</v>
      </c>
      <c r="X9" s="76" t="e">
        <f t="shared" ca="1" si="15"/>
        <v>#N/A</v>
      </c>
      <c r="Y9" s="76" t="e">
        <f t="shared" ca="1" si="9"/>
        <v>#N/A</v>
      </c>
      <c r="Z9" s="75" t="e">
        <f t="shared" ca="1" si="16"/>
        <v>#N/A</v>
      </c>
      <c r="AA9" s="75" t="e">
        <f t="shared" ca="1" si="17"/>
        <v>#N/A</v>
      </c>
      <c r="AB9" s="75" t="e">
        <f t="shared" ca="1" si="18"/>
        <v>#N/A</v>
      </c>
      <c r="AC9" s="75" t="e">
        <f t="shared" ca="1" si="19"/>
        <v>#N/A</v>
      </c>
      <c r="AD9" s="65" t="s">
        <v>28</v>
      </c>
      <c r="AE9" s="59" t="e">
        <f t="shared" si="20"/>
        <v>#N/A</v>
      </c>
    </row>
    <row r="10" spans="1:31" x14ac:dyDescent="0.2">
      <c r="A10" s="53" t="str">
        <f t="shared" si="10"/>
        <v>:</v>
      </c>
      <c r="B10" s="10"/>
      <c r="C10" s="60" t="e">
        <f>VLOOKUP(B10,'Acceptance Tests'!$A$6:$D$32,COLUMN('Acceptance Tests'!$D$6)-COLUMN('Acceptance Tests'!$A$6)+1,FALSE)</f>
        <v>#N/A</v>
      </c>
      <c r="D10" s="58"/>
      <c r="E10" s="10"/>
      <c r="F10" s="50"/>
      <c r="G10" s="68" t="e">
        <f>VLOOKUP($B10,'Acceptance Tests'!A$6:N$32,COLUMN('Acceptance Tests'!N$6)-COLUMN('Acceptance Tests'!A$6)+1,FALSE)</f>
        <v>#N/A</v>
      </c>
      <c r="H10" s="70"/>
      <c r="I10" s="70"/>
      <c r="J10" s="70"/>
      <c r="K10" s="71">
        <f t="shared" si="0"/>
        <v>0</v>
      </c>
      <c r="L10" s="71">
        <f t="shared" si="1"/>
        <v>0</v>
      </c>
      <c r="M10" s="71">
        <f>L10*L10</f>
        <v>0</v>
      </c>
      <c r="N10" s="71">
        <f>ROUND(K10-(ROUND(SQRT(M10),0)),0)</f>
        <v>0</v>
      </c>
      <c r="O10" s="71">
        <f>ROUND(K10+(ROUND(SQRT(M10),0)),0)</f>
        <v>0</v>
      </c>
      <c r="P10" s="71">
        <f t="shared" si="3"/>
        <v>0</v>
      </c>
      <c r="Q10" s="70">
        <f t="shared" si="4"/>
        <v>0</v>
      </c>
      <c r="R10" s="70">
        <f t="shared" si="5"/>
        <v>0</v>
      </c>
      <c r="S10" s="70">
        <f t="shared" si="6"/>
        <v>0</v>
      </c>
      <c r="T10" s="70">
        <f t="shared" si="7"/>
        <v>0</v>
      </c>
      <c r="U10" s="70">
        <f t="shared" si="8"/>
        <v>0</v>
      </c>
      <c r="V10" s="74" t="e">
        <f t="shared" ca="1" si="13"/>
        <v>#N/A</v>
      </c>
      <c r="W10" s="74" t="e">
        <f t="shared" ca="1" si="14"/>
        <v>#N/A</v>
      </c>
      <c r="X10" s="77" t="e">
        <f t="shared" ca="1" si="15"/>
        <v>#N/A</v>
      </c>
      <c r="Y10" s="77" t="e">
        <f t="shared" ca="1" si="9"/>
        <v>#N/A</v>
      </c>
      <c r="Z10" s="75" t="e">
        <f t="shared" ca="1" si="16"/>
        <v>#N/A</v>
      </c>
      <c r="AA10" s="75" t="e">
        <f t="shared" ca="1" si="17"/>
        <v>#N/A</v>
      </c>
      <c r="AB10" s="75" t="e">
        <f t="shared" ca="1" si="18"/>
        <v>#N/A</v>
      </c>
      <c r="AC10" s="75" t="e">
        <f t="shared" ca="1" si="19"/>
        <v>#N/A</v>
      </c>
      <c r="AD10" s="64" t="s">
        <v>28</v>
      </c>
      <c r="AE10" s="59" t="e">
        <f t="shared" si="20"/>
        <v>#N/A</v>
      </c>
    </row>
    <row r="11" spans="1:31" x14ac:dyDescent="0.2">
      <c r="A11" s="53" t="str">
        <f t="shared" si="10"/>
        <v>:</v>
      </c>
      <c r="B11" s="10"/>
      <c r="C11" s="60" t="e">
        <f>VLOOKUP(B11,'Acceptance Tests'!$A$6:$D$32,COLUMN('Acceptance Tests'!$D$6)-COLUMN('Acceptance Tests'!$A$6)+1,FALSE)</f>
        <v>#N/A</v>
      </c>
      <c r="D11" s="58"/>
      <c r="E11" s="10"/>
      <c r="F11" s="50"/>
      <c r="G11" s="68" t="e">
        <f>VLOOKUP($B11,'Acceptance Tests'!A$6:N$32,COLUMN('Acceptance Tests'!N$6)-COLUMN('Acceptance Tests'!A$6)+1,FALSE)</f>
        <v>#N/A</v>
      </c>
      <c r="H11" s="70"/>
      <c r="I11" s="70"/>
      <c r="J11" s="70"/>
      <c r="K11" s="71">
        <f t="shared" si="0"/>
        <v>0</v>
      </c>
      <c r="L11" s="71">
        <f t="shared" si="1"/>
        <v>0</v>
      </c>
      <c r="M11" s="71">
        <f t="shared" si="2"/>
        <v>0</v>
      </c>
      <c r="N11" s="71">
        <f t="shared" si="11"/>
        <v>0</v>
      </c>
      <c r="O11" s="71">
        <f t="shared" si="12"/>
        <v>0</v>
      </c>
      <c r="P11" s="71">
        <f t="shared" si="3"/>
        <v>0</v>
      </c>
      <c r="Q11" s="70">
        <f t="shared" si="4"/>
        <v>0</v>
      </c>
      <c r="R11" s="70">
        <f t="shared" si="5"/>
        <v>0</v>
      </c>
      <c r="S11" s="70">
        <f t="shared" si="6"/>
        <v>0</v>
      </c>
      <c r="T11" s="70">
        <f t="shared" si="7"/>
        <v>0</v>
      </c>
      <c r="U11" s="70">
        <f t="shared" si="8"/>
        <v>0</v>
      </c>
      <c r="V11" s="74" t="e">
        <f t="shared" ca="1" si="13"/>
        <v>#N/A</v>
      </c>
      <c r="W11" s="74" t="e">
        <f t="shared" ca="1" si="14"/>
        <v>#N/A</v>
      </c>
      <c r="X11" s="77" t="e">
        <f t="shared" ca="1" si="15"/>
        <v>#N/A</v>
      </c>
      <c r="Y11" s="77" t="e">
        <f t="shared" ca="1" si="9"/>
        <v>#N/A</v>
      </c>
      <c r="Z11" s="75" t="e">
        <f t="shared" ca="1" si="16"/>
        <v>#N/A</v>
      </c>
      <c r="AA11" s="75" t="e">
        <f t="shared" ca="1" si="17"/>
        <v>#N/A</v>
      </c>
      <c r="AB11" s="75" t="e">
        <f t="shared" ca="1" si="18"/>
        <v>#N/A</v>
      </c>
      <c r="AC11" s="75" t="e">
        <f t="shared" ca="1" si="19"/>
        <v>#N/A</v>
      </c>
      <c r="AD11" s="64" t="s">
        <v>28</v>
      </c>
      <c r="AE11" s="59" t="e">
        <f t="shared" si="20"/>
        <v>#N/A</v>
      </c>
    </row>
    <row r="12" spans="1:31" x14ac:dyDescent="0.2">
      <c r="A12" s="53" t="str">
        <f t="shared" si="10"/>
        <v>:</v>
      </c>
      <c r="B12" s="10"/>
      <c r="C12" s="60" t="e">
        <f>VLOOKUP(B12,'Acceptance Tests'!$A$6:$D$32,COLUMN('Acceptance Tests'!$D$6)-COLUMN('Acceptance Tests'!$A$6)+1,FALSE)</f>
        <v>#N/A</v>
      </c>
      <c r="D12" s="58"/>
      <c r="E12" s="10"/>
      <c r="F12" s="50"/>
      <c r="G12" s="68" t="e">
        <f>VLOOKUP($B12,'Acceptance Tests'!A$6:N$32,COLUMN('Acceptance Tests'!N$6)-COLUMN('Acceptance Tests'!A$6)+1,FALSE)</f>
        <v>#N/A</v>
      </c>
      <c r="H12" s="70"/>
      <c r="I12" s="70"/>
      <c r="J12" s="70"/>
      <c r="K12" s="71">
        <f t="shared" si="0"/>
        <v>0</v>
      </c>
      <c r="L12" s="71">
        <f t="shared" si="1"/>
        <v>0</v>
      </c>
      <c r="M12" s="71">
        <f t="shared" si="2"/>
        <v>0</v>
      </c>
      <c r="N12" s="71">
        <f t="shared" si="11"/>
        <v>0</v>
      </c>
      <c r="O12" s="71">
        <f t="shared" si="12"/>
        <v>0</v>
      </c>
      <c r="P12" s="71">
        <f t="shared" si="3"/>
        <v>0</v>
      </c>
      <c r="Q12" s="70">
        <f t="shared" si="4"/>
        <v>0</v>
      </c>
      <c r="R12" s="70">
        <f t="shared" si="5"/>
        <v>0</v>
      </c>
      <c r="S12" s="70">
        <f t="shared" si="6"/>
        <v>0</v>
      </c>
      <c r="T12" s="70">
        <f t="shared" si="7"/>
        <v>0</v>
      </c>
      <c r="U12" s="70">
        <f t="shared" si="8"/>
        <v>0</v>
      </c>
      <c r="V12" s="74" t="e">
        <f t="shared" ca="1" si="13"/>
        <v>#N/A</v>
      </c>
      <c r="W12" s="74" t="e">
        <f t="shared" ca="1" si="14"/>
        <v>#N/A</v>
      </c>
      <c r="X12" s="77" t="e">
        <f t="shared" ca="1" si="15"/>
        <v>#N/A</v>
      </c>
      <c r="Y12" s="77" t="e">
        <f t="shared" ca="1" si="9"/>
        <v>#N/A</v>
      </c>
      <c r="Z12" s="75" t="e">
        <f t="shared" ca="1" si="16"/>
        <v>#N/A</v>
      </c>
      <c r="AA12" s="75" t="e">
        <f t="shared" ca="1" si="17"/>
        <v>#N/A</v>
      </c>
      <c r="AB12" s="75" t="e">
        <f t="shared" ca="1" si="18"/>
        <v>#N/A</v>
      </c>
      <c r="AC12" s="75" t="e">
        <f t="shared" ca="1" si="19"/>
        <v>#N/A</v>
      </c>
      <c r="AD12" s="64" t="s">
        <v>28</v>
      </c>
      <c r="AE12" s="59" t="e">
        <f t="shared" si="20"/>
        <v>#N/A</v>
      </c>
    </row>
    <row r="13" spans="1:31" x14ac:dyDescent="0.2">
      <c r="A13" s="53" t="str">
        <f t="shared" si="10"/>
        <v>:</v>
      </c>
      <c r="B13" s="10"/>
      <c r="C13" s="60" t="e">
        <f>VLOOKUP(B13,'Acceptance Tests'!$A$6:$D$32,COLUMN('Acceptance Tests'!$D$6)-COLUMN('Acceptance Tests'!$A$6)+1,FALSE)</f>
        <v>#N/A</v>
      </c>
      <c r="D13" s="58"/>
      <c r="E13" s="10"/>
      <c r="F13" s="50"/>
      <c r="G13" s="68" t="e">
        <f>VLOOKUP($B13,'Acceptance Tests'!A$6:N$32,COLUMN('Acceptance Tests'!N$6)-COLUMN('Acceptance Tests'!A$6)+1,FALSE)</f>
        <v>#N/A</v>
      </c>
      <c r="H13" s="70"/>
      <c r="I13" s="70"/>
      <c r="J13" s="70"/>
      <c r="K13" s="71">
        <f t="shared" si="0"/>
        <v>0</v>
      </c>
      <c r="L13" s="71">
        <f t="shared" si="1"/>
        <v>0</v>
      </c>
      <c r="M13" s="71">
        <f t="shared" si="2"/>
        <v>0</v>
      </c>
      <c r="N13" s="71">
        <f t="shared" si="11"/>
        <v>0</v>
      </c>
      <c r="O13" s="71">
        <f t="shared" si="12"/>
        <v>0</v>
      </c>
      <c r="P13" s="71">
        <f t="shared" si="3"/>
        <v>0</v>
      </c>
      <c r="Q13" s="70">
        <f t="shared" si="4"/>
        <v>0</v>
      </c>
      <c r="R13" s="70">
        <f t="shared" si="5"/>
        <v>0</v>
      </c>
      <c r="S13" s="70">
        <f t="shared" si="6"/>
        <v>0</v>
      </c>
      <c r="T13" s="70">
        <f t="shared" si="7"/>
        <v>0</v>
      </c>
      <c r="U13" s="70">
        <f t="shared" si="8"/>
        <v>0</v>
      </c>
      <c r="V13" s="74" t="e">
        <f t="shared" ca="1" si="13"/>
        <v>#N/A</v>
      </c>
      <c r="W13" s="74" t="e">
        <f t="shared" ca="1" si="14"/>
        <v>#N/A</v>
      </c>
      <c r="X13" s="77" t="e">
        <f t="shared" ca="1" si="15"/>
        <v>#N/A</v>
      </c>
      <c r="Y13" s="77" t="e">
        <f t="shared" ca="1" si="9"/>
        <v>#N/A</v>
      </c>
      <c r="Z13" s="75" t="e">
        <f t="shared" ca="1" si="16"/>
        <v>#N/A</v>
      </c>
      <c r="AA13" s="75" t="e">
        <f t="shared" ca="1" si="17"/>
        <v>#N/A</v>
      </c>
      <c r="AB13" s="75" t="e">
        <f t="shared" ca="1" si="18"/>
        <v>#N/A</v>
      </c>
      <c r="AC13" s="75" t="e">
        <f t="shared" ca="1" si="19"/>
        <v>#N/A</v>
      </c>
      <c r="AD13" s="64" t="s">
        <v>28</v>
      </c>
      <c r="AE13" s="59" t="e">
        <f t="shared" si="20"/>
        <v>#N/A</v>
      </c>
    </row>
    <row r="14" spans="1:31" x14ac:dyDescent="0.2">
      <c r="A14" s="53" t="str">
        <f t="shared" si="10"/>
        <v>:</v>
      </c>
      <c r="B14" s="10"/>
      <c r="C14" s="60" t="e">
        <f>VLOOKUP(B14,'Acceptance Tests'!$A$6:$D$32,COLUMN('Acceptance Tests'!$D$6)-COLUMN('Acceptance Tests'!$A$6)+1,FALSE)</f>
        <v>#N/A</v>
      </c>
      <c r="D14" s="58"/>
      <c r="E14" s="10"/>
      <c r="F14" s="50"/>
      <c r="G14" s="68" t="e">
        <f>VLOOKUP($B14,'Acceptance Tests'!A$6:N$32,COLUMN('Acceptance Tests'!N$6)-COLUMN('Acceptance Tests'!A$6)+1,FALSE)</f>
        <v>#N/A</v>
      </c>
      <c r="H14" s="70"/>
      <c r="I14" s="70"/>
      <c r="J14" s="70"/>
      <c r="K14" s="71">
        <f t="shared" si="0"/>
        <v>0</v>
      </c>
      <c r="L14" s="71">
        <f t="shared" si="1"/>
        <v>0</v>
      </c>
      <c r="M14" s="71">
        <f t="shared" si="2"/>
        <v>0</v>
      </c>
      <c r="N14" s="71">
        <f t="shared" si="11"/>
        <v>0</v>
      </c>
      <c r="O14" s="71">
        <f t="shared" si="12"/>
        <v>0</v>
      </c>
      <c r="P14" s="71">
        <f t="shared" si="3"/>
        <v>0</v>
      </c>
      <c r="Q14" s="70">
        <f t="shared" si="4"/>
        <v>0</v>
      </c>
      <c r="R14" s="70">
        <f t="shared" si="5"/>
        <v>0</v>
      </c>
      <c r="S14" s="70">
        <f t="shared" si="6"/>
        <v>0</v>
      </c>
      <c r="T14" s="70">
        <f t="shared" si="7"/>
        <v>0</v>
      </c>
      <c r="U14" s="70">
        <f t="shared" si="8"/>
        <v>0</v>
      </c>
      <c r="V14" s="74" t="e">
        <f t="shared" ca="1" si="13"/>
        <v>#N/A</v>
      </c>
      <c r="W14" s="74" t="e">
        <f t="shared" ca="1" si="14"/>
        <v>#N/A</v>
      </c>
      <c r="X14" s="77" t="e">
        <f t="shared" ca="1" si="15"/>
        <v>#N/A</v>
      </c>
      <c r="Y14" s="77" t="e">
        <f t="shared" ca="1" si="9"/>
        <v>#N/A</v>
      </c>
      <c r="Z14" s="75" t="e">
        <f t="shared" ca="1" si="16"/>
        <v>#N/A</v>
      </c>
      <c r="AA14" s="75" t="e">
        <f t="shared" ca="1" si="17"/>
        <v>#N/A</v>
      </c>
      <c r="AB14" s="75" t="e">
        <f t="shared" ca="1" si="18"/>
        <v>#N/A</v>
      </c>
      <c r="AC14" s="75" t="e">
        <f t="shared" ca="1" si="19"/>
        <v>#N/A</v>
      </c>
      <c r="AD14" s="64" t="s">
        <v>28</v>
      </c>
      <c r="AE14" s="59" t="e">
        <f t="shared" si="20"/>
        <v>#N/A</v>
      </c>
    </row>
    <row r="15" spans="1:31" x14ac:dyDescent="0.2">
      <c r="A15" s="53" t="str">
        <f t="shared" si="10"/>
        <v>:</v>
      </c>
      <c r="B15" s="10"/>
      <c r="C15" s="60" t="e">
        <f>VLOOKUP(B15,'Acceptance Tests'!$A$6:$D$32,COLUMN('Acceptance Tests'!$D$6)-COLUMN('Acceptance Tests'!$A$6)+1,FALSE)</f>
        <v>#N/A</v>
      </c>
      <c r="D15" s="58"/>
      <c r="E15" s="10"/>
      <c r="F15" s="50"/>
      <c r="G15" s="68" t="e">
        <f>VLOOKUP($B15,'Acceptance Tests'!A$6:N$32,COLUMN('Acceptance Tests'!N$6)-COLUMN('Acceptance Tests'!A$6)+1,FALSE)</f>
        <v>#N/A</v>
      </c>
      <c r="H15" s="70"/>
      <c r="I15" s="70"/>
      <c r="J15" s="70"/>
      <c r="K15" s="71">
        <f t="shared" si="0"/>
        <v>0</v>
      </c>
      <c r="L15" s="71">
        <f t="shared" si="1"/>
        <v>0</v>
      </c>
      <c r="M15" s="71">
        <f t="shared" si="2"/>
        <v>0</v>
      </c>
      <c r="N15" s="71">
        <f t="shared" si="11"/>
        <v>0</v>
      </c>
      <c r="O15" s="71">
        <f t="shared" si="12"/>
        <v>0</v>
      </c>
      <c r="P15" s="71">
        <f t="shared" si="3"/>
        <v>0</v>
      </c>
      <c r="Q15" s="70">
        <f t="shared" si="4"/>
        <v>0</v>
      </c>
      <c r="R15" s="70">
        <f t="shared" si="5"/>
        <v>0</v>
      </c>
      <c r="S15" s="70">
        <f t="shared" si="6"/>
        <v>0</v>
      </c>
      <c r="T15" s="70">
        <f t="shared" si="7"/>
        <v>0</v>
      </c>
      <c r="U15" s="70">
        <f t="shared" si="8"/>
        <v>0</v>
      </c>
      <c r="V15" s="74" t="e">
        <f t="shared" ca="1" si="13"/>
        <v>#N/A</v>
      </c>
      <c r="W15" s="74" t="e">
        <f t="shared" ca="1" si="14"/>
        <v>#N/A</v>
      </c>
      <c r="X15" s="77" t="e">
        <f t="shared" ca="1" si="15"/>
        <v>#N/A</v>
      </c>
      <c r="Y15" s="77" t="e">
        <f t="shared" ca="1" si="9"/>
        <v>#N/A</v>
      </c>
      <c r="Z15" s="75" t="e">
        <f t="shared" ca="1" si="16"/>
        <v>#N/A</v>
      </c>
      <c r="AA15" s="75" t="e">
        <f t="shared" ca="1" si="17"/>
        <v>#N/A</v>
      </c>
      <c r="AB15" s="75" t="e">
        <f t="shared" ca="1" si="18"/>
        <v>#N/A</v>
      </c>
      <c r="AC15" s="75" t="e">
        <f t="shared" ca="1" si="19"/>
        <v>#N/A</v>
      </c>
      <c r="AD15" s="64" t="s">
        <v>28</v>
      </c>
      <c r="AE15" s="59" t="e">
        <f t="shared" si="20"/>
        <v>#N/A</v>
      </c>
    </row>
    <row r="16" spans="1:31" x14ac:dyDescent="0.2">
      <c r="A16" s="53" t="str">
        <f t="shared" si="10"/>
        <v>:</v>
      </c>
      <c r="B16" s="10"/>
      <c r="C16" s="60" t="e">
        <f>VLOOKUP(B16,'Acceptance Tests'!$A$6:$D$32,COLUMN('Acceptance Tests'!$D$6)-COLUMN('Acceptance Tests'!$A$6)+1,FALSE)</f>
        <v>#N/A</v>
      </c>
      <c r="D16" s="58"/>
      <c r="E16" s="10"/>
      <c r="F16" s="50"/>
      <c r="G16" s="68" t="e">
        <f>VLOOKUP($B16,'Acceptance Tests'!A$6:N$32,COLUMN('Acceptance Tests'!N$6)-COLUMN('Acceptance Tests'!A$6)+1,FALSE)</f>
        <v>#N/A</v>
      </c>
      <c r="H16" s="70"/>
      <c r="I16" s="70"/>
      <c r="J16" s="70"/>
      <c r="K16" s="71">
        <f t="shared" si="0"/>
        <v>0</v>
      </c>
      <c r="L16" s="71">
        <f t="shared" si="1"/>
        <v>0</v>
      </c>
      <c r="M16" s="71">
        <f t="shared" si="2"/>
        <v>0</v>
      </c>
      <c r="N16" s="71">
        <f t="shared" si="11"/>
        <v>0</v>
      </c>
      <c r="O16" s="71">
        <f t="shared" si="12"/>
        <v>0</v>
      </c>
      <c r="P16" s="71">
        <f t="shared" si="3"/>
        <v>0</v>
      </c>
      <c r="Q16" s="70">
        <f t="shared" si="4"/>
        <v>0</v>
      </c>
      <c r="R16" s="70">
        <f t="shared" si="5"/>
        <v>0</v>
      </c>
      <c r="S16" s="70">
        <f t="shared" si="6"/>
        <v>0</v>
      </c>
      <c r="T16" s="70">
        <f t="shared" si="7"/>
        <v>0</v>
      </c>
      <c r="U16" s="70">
        <f t="shared" si="8"/>
        <v>0</v>
      </c>
      <c r="V16" s="74" t="e">
        <f t="shared" ca="1" si="13"/>
        <v>#N/A</v>
      </c>
      <c r="W16" s="74" t="e">
        <f t="shared" ca="1" si="14"/>
        <v>#N/A</v>
      </c>
      <c r="X16" s="77" t="e">
        <f t="shared" ca="1" si="15"/>
        <v>#N/A</v>
      </c>
      <c r="Y16" s="77" t="e">
        <f t="shared" ca="1" si="9"/>
        <v>#N/A</v>
      </c>
      <c r="Z16" s="75" t="e">
        <f t="shared" ca="1" si="16"/>
        <v>#N/A</v>
      </c>
      <c r="AA16" s="75" t="e">
        <f t="shared" ca="1" si="17"/>
        <v>#N/A</v>
      </c>
      <c r="AB16" s="75" t="e">
        <f t="shared" ca="1" si="18"/>
        <v>#N/A</v>
      </c>
      <c r="AC16" s="75" t="e">
        <f t="shared" ca="1" si="19"/>
        <v>#N/A</v>
      </c>
      <c r="AD16" s="64" t="s">
        <v>28</v>
      </c>
      <c r="AE16" s="59" t="e">
        <f t="shared" si="20"/>
        <v>#N/A</v>
      </c>
    </row>
    <row r="17" spans="1:31" x14ac:dyDescent="0.2">
      <c r="A17" s="53" t="str">
        <f t="shared" si="10"/>
        <v>:</v>
      </c>
      <c r="B17" s="10"/>
      <c r="C17" s="60" t="e">
        <f>VLOOKUP(B17,'Acceptance Tests'!$A$6:$D$32,COLUMN('Acceptance Tests'!$D$6)-COLUMN('Acceptance Tests'!$A$6)+1,FALSE)</f>
        <v>#N/A</v>
      </c>
      <c r="D17" s="58"/>
      <c r="E17" s="10"/>
      <c r="F17" s="50"/>
      <c r="G17" s="68" t="e">
        <f>VLOOKUP($B17,'Acceptance Tests'!A$6:N$32,COLUMN('Acceptance Tests'!N$6)-COLUMN('Acceptance Tests'!A$6)+1,FALSE)</f>
        <v>#N/A</v>
      </c>
      <c r="H17" s="70"/>
      <c r="I17" s="70"/>
      <c r="J17" s="70"/>
      <c r="K17" s="71">
        <f t="shared" si="0"/>
        <v>0</v>
      </c>
      <c r="L17" s="71">
        <f t="shared" si="1"/>
        <v>0</v>
      </c>
      <c r="M17" s="71">
        <f t="shared" si="2"/>
        <v>0</v>
      </c>
      <c r="N17" s="71">
        <f t="shared" si="11"/>
        <v>0</v>
      </c>
      <c r="O17" s="71">
        <f t="shared" si="12"/>
        <v>0</v>
      </c>
      <c r="P17" s="71">
        <f t="shared" si="3"/>
        <v>0</v>
      </c>
      <c r="Q17" s="70">
        <f t="shared" si="4"/>
        <v>0</v>
      </c>
      <c r="R17" s="70">
        <f t="shared" si="5"/>
        <v>0</v>
      </c>
      <c r="S17" s="70">
        <f t="shared" si="6"/>
        <v>0</v>
      </c>
      <c r="T17" s="70">
        <f t="shared" si="7"/>
        <v>0</v>
      </c>
      <c r="U17" s="70">
        <f t="shared" si="8"/>
        <v>0</v>
      </c>
      <c r="V17" s="74" t="e">
        <f t="shared" ca="1" si="13"/>
        <v>#N/A</v>
      </c>
      <c r="W17" s="74" t="e">
        <f t="shared" ca="1" si="14"/>
        <v>#N/A</v>
      </c>
      <c r="X17" s="77" t="e">
        <f t="shared" ca="1" si="15"/>
        <v>#N/A</v>
      </c>
      <c r="Y17" s="77" t="e">
        <f t="shared" ca="1" si="9"/>
        <v>#N/A</v>
      </c>
      <c r="Z17" s="75" t="e">
        <f t="shared" ca="1" si="16"/>
        <v>#N/A</v>
      </c>
      <c r="AA17" s="75" t="e">
        <f t="shared" ca="1" si="17"/>
        <v>#N/A</v>
      </c>
      <c r="AB17" s="75" t="e">
        <f t="shared" ca="1" si="18"/>
        <v>#N/A</v>
      </c>
      <c r="AC17" s="75" t="e">
        <f t="shared" ca="1" si="19"/>
        <v>#N/A</v>
      </c>
      <c r="AD17" s="64" t="s">
        <v>28</v>
      </c>
      <c r="AE17" s="59" t="e">
        <f t="shared" si="20"/>
        <v>#N/A</v>
      </c>
    </row>
    <row r="18" spans="1:31" x14ac:dyDescent="0.2">
      <c r="A18" s="53" t="str">
        <f t="shared" si="10"/>
        <v>:</v>
      </c>
      <c r="B18" s="10"/>
      <c r="C18" s="60" t="e">
        <f>VLOOKUP(B18,'Acceptance Tests'!$A$6:$D$32,COLUMN('Acceptance Tests'!$D$6)-COLUMN('Acceptance Tests'!$A$6)+1,FALSE)</f>
        <v>#N/A</v>
      </c>
      <c r="D18" s="58"/>
      <c r="E18" s="10"/>
      <c r="F18" s="50"/>
      <c r="G18" s="68" t="e">
        <f>VLOOKUP($B18,'Acceptance Tests'!A$6:N$32,COLUMN('Acceptance Tests'!N$6)-COLUMN('Acceptance Tests'!A$6)+1,FALSE)</f>
        <v>#N/A</v>
      </c>
      <c r="H18" s="70"/>
      <c r="I18" s="70"/>
      <c r="J18" s="70"/>
      <c r="K18" s="71">
        <f t="shared" si="0"/>
        <v>0</v>
      </c>
      <c r="L18" s="71">
        <f t="shared" si="1"/>
        <v>0</v>
      </c>
      <c r="M18" s="71">
        <f t="shared" si="2"/>
        <v>0</v>
      </c>
      <c r="N18" s="71">
        <f t="shared" si="11"/>
        <v>0</v>
      </c>
      <c r="O18" s="71">
        <f t="shared" si="12"/>
        <v>0</v>
      </c>
      <c r="P18" s="71">
        <f t="shared" si="3"/>
        <v>0</v>
      </c>
      <c r="Q18" s="70">
        <f t="shared" si="4"/>
        <v>0</v>
      </c>
      <c r="R18" s="70">
        <f t="shared" si="5"/>
        <v>0</v>
      </c>
      <c r="S18" s="70">
        <f t="shared" si="6"/>
        <v>0</v>
      </c>
      <c r="T18" s="70">
        <f t="shared" si="7"/>
        <v>0</v>
      </c>
      <c r="U18" s="70">
        <f t="shared" si="8"/>
        <v>0</v>
      </c>
      <c r="V18" s="74" t="e">
        <f t="shared" ca="1" si="13"/>
        <v>#N/A</v>
      </c>
      <c r="W18" s="74" t="e">
        <f t="shared" ca="1" si="14"/>
        <v>#N/A</v>
      </c>
      <c r="X18" s="77" t="e">
        <f t="shared" ca="1" si="15"/>
        <v>#N/A</v>
      </c>
      <c r="Y18" s="77" t="e">
        <f t="shared" ca="1" si="9"/>
        <v>#N/A</v>
      </c>
      <c r="Z18" s="75" t="e">
        <f t="shared" ca="1" si="16"/>
        <v>#N/A</v>
      </c>
      <c r="AA18" s="75" t="e">
        <f t="shared" ca="1" si="17"/>
        <v>#N/A</v>
      </c>
      <c r="AB18" s="75" t="e">
        <f t="shared" ca="1" si="18"/>
        <v>#N/A</v>
      </c>
      <c r="AC18" s="75" t="e">
        <f t="shared" ca="1" si="19"/>
        <v>#N/A</v>
      </c>
      <c r="AD18" s="64" t="s">
        <v>28</v>
      </c>
      <c r="AE18" s="59" t="e">
        <f t="shared" si="20"/>
        <v>#N/A</v>
      </c>
    </row>
    <row r="19" spans="1:31" x14ac:dyDescent="0.2">
      <c r="A19" s="53" t="str">
        <f t="shared" si="10"/>
        <v>:</v>
      </c>
      <c r="B19" s="10"/>
      <c r="C19" s="60" t="e">
        <f>VLOOKUP(B19,'Acceptance Tests'!$A$6:$D$32,COLUMN('Acceptance Tests'!$D$6)-COLUMN('Acceptance Tests'!$A$6)+1,FALSE)</f>
        <v>#N/A</v>
      </c>
      <c r="D19" s="58"/>
      <c r="E19" s="10"/>
      <c r="F19" s="50"/>
      <c r="G19" s="68" t="e">
        <f>VLOOKUP($B19,'Acceptance Tests'!A$6:N$32,COLUMN('Acceptance Tests'!N$6)-COLUMN('Acceptance Tests'!A$6)+1,FALSE)</f>
        <v>#N/A</v>
      </c>
      <c r="H19" s="70"/>
      <c r="I19" s="70"/>
      <c r="J19" s="70"/>
      <c r="K19" s="71">
        <f t="shared" si="0"/>
        <v>0</v>
      </c>
      <c r="L19" s="71">
        <f t="shared" si="1"/>
        <v>0</v>
      </c>
      <c r="M19" s="71">
        <f t="shared" si="2"/>
        <v>0</v>
      </c>
      <c r="N19" s="71">
        <f t="shared" si="11"/>
        <v>0</v>
      </c>
      <c r="O19" s="71">
        <f t="shared" si="12"/>
        <v>0</v>
      </c>
      <c r="P19" s="71">
        <f t="shared" si="3"/>
        <v>0</v>
      </c>
      <c r="Q19" s="70">
        <f t="shared" si="4"/>
        <v>0</v>
      </c>
      <c r="R19" s="70">
        <f t="shared" si="5"/>
        <v>0</v>
      </c>
      <c r="S19" s="70">
        <f t="shared" si="6"/>
        <v>0</v>
      </c>
      <c r="T19" s="70">
        <f t="shared" si="7"/>
        <v>0</v>
      </c>
      <c r="U19" s="70">
        <f t="shared" si="8"/>
        <v>0</v>
      </c>
      <c r="V19" s="74" t="e">
        <f t="shared" ca="1" si="13"/>
        <v>#N/A</v>
      </c>
      <c r="W19" s="74" t="e">
        <f t="shared" ca="1" si="14"/>
        <v>#N/A</v>
      </c>
      <c r="X19" s="77" t="e">
        <f t="shared" ca="1" si="15"/>
        <v>#N/A</v>
      </c>
      <c r="Y19" s="77" t="e">
        <f t="shared" ca="1" si="9"/>
        <v>#N/A</v>
      </c>
      <c r="Z19" s="75" t="e">
        <f t="shared" ca="1" si="16"/>
        <v>#N/A</v>
      </c>
      <c r="AA19" s="75" t="e">
        <f t="shared" ca="1" si="17"/>
        <v>#N/A</v>
      </c>
      <c r="AB19" s="75" t="e">
        <f t="shared" ca="1" si="18"/>
        <v>#N/A</v>
      </c>
      <c r="AC19" s="75" t="e">
        <f t="shared" ca="1" si="19"/>
        <v>#N/A</v>
      </c>
      <c r="AD19" s="64" t="s">
        <v>28</v>
      </c>
      <c r="AE19" s="59" t="e">
        <f t="shared" si="20"/>
        <v>#N/A</v>
      </c>
    </row>
    <row r="20" spans="1:31" x14ac:dyDescent="0.2">
      <c r="A20" s="53" t="str">
        <f t="shared" si="10"/>
        <v>:</v>
      </c>
      <c r="B20" s="10"/>
      <c r="C20" s="60" t="e">
        <f>VLOOKUP(B20,'Acceptance Tests'!$A$6:$D$32,COLUMN('Acceptance Tests'!$D$6)-COLUMN('Acceptance Tests'!$A$6)+1,FALSE)</f>
        <v>#N/A</v>
      </c>
      <c r="D20" s="58"/>
      <c r="E20" s="10"/>
      <c r="F20" s="50"/>
      <c r="G20" s="68" t="e">
        <f>VLOOKUP($B20,'Acceptance Tests'!A$6:N$32,COLUMN('Acceptance Tests'!N$6)-COLUMN('Acceptance Tests'!A$6)+1,FALSE)</f>
        <v>#N/A</v>
      </c>
      <c r="H20" s="70"/>
      <c r="I20" s="70"/>
      <c r="J20" s="70"/>
      <c r="K20" s="71">
        <f t="shared" si="0"/>
        <v>0</v>
      </c>
      <c r="L20" s="71">
        <f t="shared" si="1"/>
        <v>0</v>
      </c>
      <c r="M20" s="71">
        <f t="shared" si="2"/>
        <v>0</v>
      </c>
      <c r="N20" s="71">
        <f t="shared" si="11"/>
        <v>0</v>
      </c>
      <c r="O20" s="71">
        <f t="shared" si="12"/>
        <v>0</v>
      </c>
      <c r="P20" s="71">
        <f t="shared" si="3"/>
        <v>0</v>
      </c>
      <c r="Q20" s="70">
        <f t="shared" ref="Q20:Q30" si="21">P20</f>
        <v>0</v>
      </c>
      <c r="R20" s="70">
        <f t="shared" si="5"/>
        <v>0</v>
      </c>
      <c r="S20" s="70">
        <f t="shared" si="6"/>
        <v>0</v>
      </c>
      <c r="T20" s="70">
        <f t="shared" si="7"/>
        <v>0</v>
      </c>
      <c r="U20" s="70">
        <f t="shared" si="8"/>
        <v>0</v>
      </c>
      <c r="V20" s="74" t="e">
        <f t="shared" ca="1" si="13"/>
        <v>#N/A</v>
      </c>
      <c r="W20" s="74" t="e">
        <f t="shared" ca="1" si="14"/>
        <v>#N/A</v>
      </c>
      <c r="X20" s="77" t="e">
        <f t="shared" ca="1" si="15"/>
        <v>#N/A</v>
      </c>
      <c r="Y20" s="77" t="e">
        <f t="shared" ca="1" si="9"/>
        <v>#N/A</v>
      </c>
      <c r="Z20" s="75" t="e">
        <f t="shared" ca="1" si="16"/>
        <v>#N/A</v>
      </c>
      <c r="AA20" s="75" t="e">
        <f t="shared" ca="1" si="17"/>
        <v>#N/A</v>
      </c>
      <c r="AB20" s="75" t="e">
        <f t="shared" ca="1" si="18"/>
        <v>#N/A</v>
      </c>
      <c r="AC20" s="75" t="e">
        <f t="shared" ca="1" si="19"/>
        <v>#N/A</v>
      </c>
      <c r="AD20" s="64" t="s">
        <v>28</v>
      </c>
      <c r="AE20" s="59" t="e">
        <f t="shared" si="20"/>
        <v>#N/A</v>
      </c>
    </row>
    <row r="21" spans="1:31" x14ac:dyDescent="0.2">
      <c r="A21" s="53" t="str">
        <f t="shared" si="10"/>
        <v>:</v>
      </c>
      <c r="B21" s="10"/>
      <c r="C21" s="60" t="e">
        <f>VLOOKUP(B21,'Acceptance Tests'!$A$6:$D$32,COLUMN('Acceptance Tests'!$D$6)-COLUMN('Acceptance Tests'!$A$6)+1,FALSE)</f>
        <v>#N/A</v>
      </c>
      <c r="D21" s="58"/>
      <c r="E21" s="10"/>
      <c r="F21" s="50"/>
      <c r="G21" s="68" t="e">
        <f>VLOOKUP($B21,'Acceptance Tests'!A$6:N$32,COLUMN('Acceptance Tests'!N$6)-COLUMN('Acceptance Tests'!A$6)+1,FALSE)</f>
        <v>#N/A</v>
      </c>
      <c r="H21" s="70"/>
      <c r="I21" s="70"/>
      <c r="J21" s="70"/>
      <c r="K21" s="71">
        <f t="shared" si="0"/>
        <v>0</v>
      </c>
      <c r="L21" s="71">
        <f t="shared" si="1"/>
        <v>0</v>
      </c>
      <c r="M21" s="71">
        <f t="shared" si="2"/>
        <v>0</v>
      </c>
      <c r="N21" s="71">
        <f t="shared" si="11"/>
        <v>0</v>
      </c>
      <c r="O21" s="71">
        <f t="shared" si="12"/>
        <v>0</v>
      </c>
      <c r="P21" s="71">
        <f t="shared" si="3"/>
        <v>0</v>
      </c>
      <c r="Q21" s="70">
        <f t="shared" si="21"/>
        <v>0</v>
      </c>
      <c r="R21" s="70">
        <f t="shared" si="5"/>
        <v>0</v>
      </c>
      <c r="S21" s="70">
        <f t="shared" si="6"/>
        <v>0</v>
      </c>
      <c r="T21" s="70">
        <f t="shared" si="7"/>
        <v>0</v>
      </c>
      <c r="U21" s="70">
        <f t="shared" si="8"/>
        <v>0</v>
      </c>
      <c r="V21" s="74" t="e">
        <f t="shared" ca="1" si="13"/>
        <v>#N/A</v>
      </c>
      <c r="W21" s="74" t="e">
        <f t="shared" ca="1" si="14"/>
        <v>#N/A</v>
      </c>
      <c r="X21" s="77" t="e">
        <f t="shared" ca="1" si="15"/>
        <v>#N/A</v>
      </c>
      <c r="Y21" s="77" t="e">
        <f t="shared" ca="1" si="9"/>
        <v>#N/A</v>
      </c>
      <c r="Z21" s="75" t="e">
        <f t="shared" ca="1" si="16"/>
        <v>#N/A</v>
      </c>
      <c r="AA21" s="75" t="e">
        <f t="shared" ca="1" si="17"/>
        <v>#N/A</v>
      </c>
      <c r="AB21" s="75" t="e">
        <f t="shared" ca="1" si="18"/>
        <v>#N/A</v>
      </c>
      <c r="AC21" s="75" t="e">
        <f t="shared" ca="1" si="19"/>
        <v>#N/A</v>
      </c>
      <c r="AD21" s="64" t="s">
        <v>28</v>
      </c>
      <c r="AE21" s="59" t="e">
        <f t="shared" si="20"/>
        <v>#N/A</v>
      </c>
    </row>
    <row r="22" spans="1:31" x14ac:dyDescent="0.2">
      <c r="A22" s="53" t="str">
        <f t="shared" si="10"/>
        <v>:</v>
      </c>
      <c r="B22" s="10"/>
      <c r="C22" s="60" t="e">
        <f>VLOOKUP(B22,'Acceptance Tests'!$A$6:$D$32,COLUMN('Acceptance Tests'!$D$6)-COLUMN('Acceptance Tests'!$A$6)+1,FALSE)</f>
        <v>#N/A</v>
      </c>
      <c r="D22" s="58"/>
      <c r="E22" s="10"/>
      <c r="F22" s="50"/>
      <c r="G22" s="68" t="e">
        <f>VLOOKUP($B22,'Acceptance Tests'!A$6:N$32,COLUMN('Acceptance Tests'!N$6)-COLUMN('Acceptance Tests'!A$6)+1,FALSE)</f>
        <v>#N/A</v>
      </c>
      <c r="H22" s="70"/>
      <c r="I22" s="70"/>
      <c r="J22" s="70"/>
      <c r="K22" s="71">
        <f t="shared" si="0"/>
        <v>0</v>
      </c>
      <c r="L22" s="71">
        <f t="shared" si="1"/>
        <v>0</v>
      </c>
      <c r="M22" s="71">
        <f t="shared" si="2"/>
        <v>0</v>
      </c>
      <c r="N22" s="71">
        <f t="shared" si="11"/>
        <v>0</v>
      </c>
      <c r="O22" s="71">
        <f t="shared" si="12"/>
        <v>0</v>
      </c>
      <c r="P22" s="71">
        <f t="shared" si="3"/>
        <v>0</v>
      </c>
      <c r="Q22" s="70">
        <f t="shared" si="21"/>
        <v>0</v>
      </c>
      <c r="R22" s="70">
        <f t="shared" si="5"/>
        <v>0</v>
      </c>
      <c r="S22" s="70">
        <f t="shared" si="6"/>
        <v>0</v>
      </c>
      <c r="T22" s="70">
        <f t="shared" si="7"/>
        <v>0</v>
      </c>
      <c r="U22" s="70">
        <f t="shared" si="8"/>
        <v>0</v>
      </c>
      <c r="V22" s="74" t="e">
        <f t="shared" ca="1" si="13"/>
        <v>#N/A</v>
      </c>
      <c r="W22" s="74" t="e">
        <f t="shared" ca="1" si="14"/>
        <v>#N/A</v>
      </c>
      <c r="X22" s="77" t="e">
        <f t="shared" ca="1" si="15"/>
        <v>#N/A</v>
      </c>
      <c r="Y22" s="77" t="e">
        <f t="shared" ca="1" si="9"/>
        <v>#N/A</v>
      </c>
      <c r="Z22" s="75" t="e">
        <f t="shared" ca="1" si="16"/>
        <v>#N/A</v>
      </c>
      <c r="AA22" s="75" t="e">
        <f t="shared" ca="1" si="17"/>
        <v>#N/A</v>
      </c>
      <c r="AB22" s="75" t="e">
        <f t="shared" ca="1" si="18"/>
        <v>#N/A</v>
      </c>
      <c r="AC22" s="75" t="e">
        <f t="shared" ca="1" si="19"/>
        <v>#N/A</v>
      </c>
      <c r="AD22" s="64" t="s">
        <v>28</v>
      </c>
      <c r="AE22" s="59" t="e">
        <f t="shared" si="20"/>
        <v>#N/A</v>
      </c>
    </row>
    <row r="23" spans="1:31" x14ac:dyDescent="0.2">
      <c r="A23" s="53" t="str">
        <f t="shared" si="10"/>
        <v>:</v>
      </c>
      <c r="B23" s="10"/>
      <c r="C23" s="60" t="e">
        <f>VLOOKUP(B23,'Acceptance Tests'!$A$6:$D$32,COLUMN('Acceptance Tests'!$D$6)-COLUMN('Acceptance Tests'!$A$6)+1,FALSE)</f>
        <v>#N/A</v>
      </c>
      <c r="D23" s="58"/>
      <c r="E23" s="10"/>
      <c r="F23" s="50"/>
      <c r="G23" s="68" t="e">
        <f>VLOOKUP($B23,'Acceptance Tests'!A$6:N$32,COLUMN('Acceptance Tests'!N$6)-COLUMN('Acceptance Tests'!A$6)+1,FALSE)</f>
        <v>#N/A</v>
      </c>
      <c r="H23" s="70"/>
      <c r="I23" s="70"/>
      <c r="J23" s="70"/>
      <c r="K23" s="71">
        <f t="shared" si="0"/>
        <v>0</v>
      </c>
      <c r="L23" s="71">
        <f t="shared" si="1"/>
        <v>0</v>
      </c>
      <c r="M23" s="71">
        <f t="shared" si="2"/>
        <v>0</v>
      </c>
      <c r="N23" s="71">
        <f t="shared" si="11"/>
        <v>0</v>
      </c>
      <c r="O23" s="71">
        <f t="shared" si="12"/>
        <v>0</v>
      </c>
      <c r="P23" s="71">
        <f t="shared" si="3"/>
        <v>0</v>
      </c>
      <c r="Q23" s="70">
        <f t="shared" si="21"/>
        <v>0</v>
      </c>
      <c r="R23" s="70">
        <f t="shared" si="5"/>
        <v>0</v>
      </c>
      <c r="S23" s="70">
        <f t="shared" si="6"/>
        <v>0</v>
      </c>
      <c r="T23" s="70">
        <f t="shared" si="7"/>
        <v>0</v>
      </c>
      <c r="U23" s="70">
        <f t="shared" si="8"/>
        <v>0</v>
      </c>
      <c r="V23" s="74" t="e">
        <f t="shared" ca="1" si="13"/>
        <v>#N/A</v>
      </c>
      <c r="W23" s="74" t="e">
        <f t="shared" ca="1" si="14"/>
        <v>#N/A</v>
      </c>
      <c r="X23" s="77" t="e">
        <f t="shared" ca="1" si="15"/>
        <v>#N/A</v>
      </c>
      <c r="Y23" s="77" t="e">
        <f t="shared" ca="1" si="9"/>
        <v>#N/A</v>
      </c>
      <c r="Z23" s="75" t="e">
        <f t="shared" ca="1" si="16"/>
        <v>#N/A</v>
      </c>
      <c r="AA23" s="75" t="e">
        <f t="shared" ca="1" si="17"/>
        <v>#N/A</v>
      </c>
      <c r="AB23" s="75" t="e">
        <f t="shared" ca="1" si="18"/>
        <v>#N/A</v>
      </c>
      <c r="AC23" s="75" t="e">
        <f t="shared" ca="1" si="19"/>
        <v>#N/A</v>
      </c>
      <c r="AD23" s="64" t="s">
        <v>28</v>
      </c>
      <c r="AE23" s="59" t="e">
        <f t="shared" si="20"/>
        <v>#N/A</v>
      </c>
    </row>
    <row r="24" spans="1:31" x14ac:dyDescent="0.2">
      <c r="A24" s="53" t="str">
        <f t="shared" si="10"/>
        <v>:</v>
      </c>
      <c r="B24" s="10"/>
      <c r="C24" s="60" t="e">
        <f>VLOOKUP(B24,'Acceptance Tests'!$A$6:$D$32,COLUMN('Acceptance Tests'!$D$6)-COLUMN('Acceptance Tests'!$A$6)+1,FALSE)</f>
        <v>#N/A</v>
      </c>
      <c r="D24" s="58"/>
      <c r="E24" s="10"/>
      <c r="F24" s="50"/>
      <c r="G24" s="68" t="e">
        <f>VLOOKUP($B24,'Acceptance Tests'!A$6:N$32,COLUMN('Acceptance Tests'!N$6)-COLUMN('Acceptance Tests'!A$6)+1,FALSE)</f>
        <v>#N/A</v>
      </c>
      <c r="H24" s="70"/>
      <c r="I24" s="70"/>
      <c r="J24" s="70"/>
      <c r="K24" s="71">
        <f t="shared" si="0"/>
        <v>0</v>
      </c>
      <c r="L24" s="71">
        <f t="shared" si="1"/>
        <v>0</v>
      </c>
      <c r="M24" s="71">
        <f t="shared" si="2"/>
        <v>0</v>
      </c>
      <c r="N24" s="71">
        <f t="shared" si="11"/>
        <v>0</v>
      </c>
      <c r="O24" s="71">
        <f t="shared" si="12"/>
        <v>0</v>
      </c>
      <c r="P24" s="71">
        <f t="shared" si="3"/>
        <v>0</v>
      </c>
      <c r="Q24" s="70">
        <f t="shared" si="21"/>
        <v>0</v>
      </c>
      <c r="R24" s="70">
        <f t="shared" si="5"/>
        <v>0</v>
      </c>
      <c r="S24" s="70">
        <f t="shared" si="6"/>
        <v>0</v>
      </c>
      <c r="T24" s="70">
        <f t="shared" si="7"/>
        <v>0</v>
      </c>
      <c r="U24" s="70">
        <f t="shared" si="8"/>
        <v>0</v>
      </c>
      <c r="V24" s="74" t="e">
        <f t="shared" ca="1" si="13"/>
        <v>#N/A</v>
      </c>
      <c r="W24" s="74" t="e">
        <f t="shared" ca="1" si="14"/>
        <v>#N/A</v>
      </c>
      <c r="X24" s="77" t="e">
        <f t="shared" ca="1" si="15"/>
        <v>#N/A</v>
      </c>
      <c r="Y24" s="77" t="e">
        <f t="shared" ca="1" si="9"/>
        <v>#N/A</v>
      </c>
      <c r="Z24" s="75" t="e">
        <f t="shared" ca="1" si="16"/>
        <v>#N/A</v>
      </c>
      <c r="AA24" s="75" t="e">
        <f t="shared" ca="1" si="17"/>
        <v>#N/A</v>
      </c>
      <c r="AB24" s="75" t="e">
        <f t="shared" ca="1" si="18"/>
        <v>#N/A</v>
      </c>
      <c r="AC24" s="75" t="e">
        <f t="shared" ca="1" si="19"/>
        <v>#N/A</v>
      </c>
      <c r="AD24" s="64" t="s">
        <v>28</v>
      </c>
      <c r="AE24" s="59" t="e">
        <f t="shared" si="20"/>
        <v>#N/A</v>
      </c>
    </row>
    <row r="25" spans="1:31" x14ac:dyDescent="0.2">
      <c r="A25" s="53" t="str">
        <f t="shared" si="10"/>
        <v>:</v>
      </c>
      <c r="B25" s="10"/>
      <c r="C25" s="60" t="e">
        <f>VLOOKUP(B25,'Acceptance Tests'!$A$6:$D$32,COLUMN('Acceptance Tests'!$D$6)-COLUMN('Acceptance Tests'!$A$6)+1,FALSE)</f>
        <v>#N/A</v>
      </c>
      <c r="D25" s="58"/>
      <c r="E25" s="10"/>
      <c r="F25" s="50"/>
      <c r="G25" s="68" t="e">
        <f>VLOOKUP($B25,'Acceptance Tests'!A$6:N$32,COLUMN('Acceptance Tests'!N$6)-COLUMN('Acceptance Tests'!A$6)+1,FALSE)</f>
        <v>#N/A</v>
      </c>
      <c r="H25" s="70"/>
      <c r="I25" s="70"/>
      <c r="J25" s="70"/>
      <c r="K25" s="71">
        <f t="shared" si="0"/>
        <v>0</v>
      </c>
      <c r="L25" s="71">
        <f t="shared" si="1"/>
        <v>0</v>
      </c>
      <c r="M25" s="71">
        <f t="shared" si="2"/>
        <v>0</v>
      </c>
      <c r="N25" s="71">
        <f t="shared" si="11"/>
        <v>0</v>
      </c>
      <c r="O25" s="71">
        <f t="shared" si="12"/>
        <v>0</v>
      </c>
      <c r="P25" s="71">
        <f t="shared" si="3"/>
        <v>0</v>
      </c>
      <c r="Q25" s="70">
        <f t="shared" si="21"/>
        <v>0</v>
      </c>
      <c r="R25" s="70">
        <f t="shared" si="5"/>
        <v>0</v>
      </c>
      <c r="S25" s="70">
        <f t="shared" si="6"/>
        <v>0</v>
      </c>
      <c r="T25" s="70">
        <f t="shared" si="7"/>
        <v>0</v>
      </c>
      <c r="U25" s="70">
        <f t="shared" si="8"/>
        <v>0</v>
      </c>
      <c r="V25" s="74" t="e">
        <f t="shared" ca="1" si="13"/>
        <v>#N/A</v>
      </c>
      <c r="W25" s="74" t="e">
        <f t="shared" ca="1" si="14"/>
        <v>#N/A</v>
      </c>
      <c r="X25" s="77" t="e">
        <f t="shared" ca="1" si="15"/>
        <v>#N/A</v>
      </c>
      <c r="Y25" s="77" t="e">
        <f t="shared" ca="1" si="9"/>
        <v>#N/A</v>
      </c>
      <c r="Z25" s="75" t="e">
        <f t="shared" ca="1" si="16"/>
        <v>#N/A</v>
      </c>
      <c r="AA25" s="75" t="e">
        <f t="shared" ca="1" si="17"/>
        <v>#N/A</v>
      </c>
      <c r="AB25" s="75" t="e">
        <f t="shared" ca="1" si="18"/>
        <v>#N/A</v>
      </c>
      <c r="AC25" s="75" t="e">
        <f t="shared" ca="1" si="19"/>
        <v>#N/A</v>
      </c>
      <c r="AD25" s="64" t="s">
        <v>28</v>
      </c>
      <c r="AE25" s="59" t="e">
        <f t="shared" si="20"/>
        <v>#N/A</v>
      </c>
    </row>
    <row r="26" spans="1:31" x14ac:dyDescent="0.2">
      <c r="A26" s="53" t="str">
        <f t="shared" si="10"/>
        <v>:</v>
      </c>
      <c r="B26" s="10"/>
      <c r="C26" s="60" t="e">
        <f>VLOOKUP(B26,'Acceptance Tests'!$A$6:$D$32,COLUMN('Acceptance Tests'!$D$6)-COLUMN('Acceptance Tests'!$A$6)+1,FALSE)</f>
        <v>#N/A</v>
      </c>
      <c r="D26" s="58"/>
      <c r="E26" s="10"/>
      <c r="F26" s="50"/>
      <c r="G26" s="68" t="e">
        <f>VLOOKUP($B26,'Acceptance Tests'!A$6:N$32,COLUMN('Acceptance Tests'!N$6)-COLUMN('Acceptance Tests'!A$6)+1,FALSE)</f>
        <v>#N/A</v>
      </c>
      <c r="H26" s="70"/>
      <c r="I26" s="70"/>
      <c r="J26" s="70"/>
      <c r="K26" s="71">
        <f t="shared" si="0"/>
        <v>0</v>
      </c>
      <c r="L26" s="71">
        <f t="shared" si="1"/>
        <v>0</v>
      </c>
      <c r="M26" s="71">
        <f t="shared" si="2"/>
        <v>0</v>
      </c>
      <c r="N26" s="71">
        <f t="shared" si="11"/>
        <v>0</v>
      </c>
      <c r="O26" s="71">
        <f t="shared" si="12"/>
        <v>0</v>
      </c>
      <c r="P26" s="71">
        <f t="shared" si="3"/>
        <v>0</v>
      </c>
      <c r="Q26" s="70">
        <f t="shared" si="21"/>
        <v>0</v>
      </c>
      <c r="R26" s="70">
        <f t="shared" si="5"/>
        <v>0</v>
      </c>
      <c r="S26" s="70">
        <f t="shared" si="6"/>
        <v>0</v>
      </c>
      <c r="T26" s="70">
        <f t="shared" si="7"/>
        <v>0</v>
      </c>
      <c r="U26" s="70">
        <f t="shared" si="8"/>
        <v>0</v>
      </c>
      <c r="V26" s="74" t="e">
        <f t="shared" ca="1" si="13"/>
        <v>#N/A</v>
      </c>
      <c r="W26" s="74" t="e">
        <f t="shared" ca="1" si="14"/>
        <v>#N/A</v>
      </c>
      <c r="X26" s="77" t="e">
        <f t="shared" ca="1" si="15"/>
        <v>#N/A</v>
      </c>
      <c r="Y26" s="77" t="e">
        <f t="shared" ca="1" si="9"/>
        <v>#N/A</v>
      </c>
      <c r="Z26" s="75" t="e">
        <f t="shared" ca="1" si="16"/>
        <v>#N/A</v>
      </c>
      <c r="AA26" s="75" t="e">
        <f t="shared" ca="1" si="17"/>
        <v>#N/A</v>
      </c>
      <c r="AB26" s="75" t="e">
        <f t="shared" ca="1" si="18"/>
        <v>#N/A</v>
      </c>
      <c r="AC26" s="75" t="e">
        <f t="shared" ca="1" si="19"/>
        <v>#N/A</v>
      </c>
      <c r="AD26" s="64" t="s">
        <v>28</v>
      </c>
      <c r="AE26" s="59" t="e">
        <f t="shared" si="20"/>
        <v>#N/A</v>
      </c>
    </row>
    <row r="27" spans="1:31" x14ac:dyDescent="0.2">
      <c r="A27" s="53" t="str">
        <f t="shared" si="10"/>
        <v>:</v>
      </c>
      <c r="B27" s="10"/>
      <c r="C27" s="60" t="e">
        <f>VLOOKUP(B27,'Acceptance Tests'!$A$6:$D$32,COLUMN('Acceptance Tests'!$D$6)-COLUMN('Acceptance Tests'!$A$6)+1,FALSE)</f>
        <v>#N/A</v>
      </c>
      <c r="D27" s="58"/>
      <c r="E27" s="10"/>
      <c r="F27" s="50"/>
      <c r="G27" s="68" t="e">
        <f>VLOOKUP($B27,'Acceptance Tests'!A$6:N$32,COLUMN('Acceptance Tests'!N$6)-COLUMN('Acceptance Tests'!A$6)+1,FALSE)</f>
        <v>#N/A</v>
      </c>
      <c r="H27" s="70"/>
      <c r="I27" s="70"/>
      <c r="J27" s="70"/>
      <c r="K27" s="71">
        <f t="shared" si="0"/>
        <v>0</v>
      </c>
      <c r="L27" s="71">
        <f t="shared" si="1"/>
        <v>0</v>
      </c>
      <c r="M27" s="71">
        <f t="shared" si="2"/>
        <v>0</v>
      </c>
      <c r="N27" s="71">
        <f t="shared" si="11"/>
        <v>0</v>
      </c>
      <c r="O27" s="71">
        <f t="shared" si="12"/>
        <v>0</v>
      </c>
      <c r="P27" s="71">
        <f t="shared" si="3"/>
        <v>0</v>
      </c>
      <c r="Q27" s="70">
        <f t="shared" si="21"/>
        <v>0</v>
      </c>
      <c r="R27" s="70">
        <f t="shared" si="5"/>
        <v>0</v>
      </c>
      <c r="S27" s="70">
        <f t="shared" si="6"/>
        <v>0</v>
      </c>
      <c r="T27" s="70">
        <f t="shared" si="7"/>
        <v>0</v>
      </c>
      <c r="U27" s="70">
        <f t="shared" si="8"/>
        <v>0</v>
      </c>
      <c r="V27" s="74" t="e">
        <f t="shared" ca="1" si="13"/>
        <v>#N/A</v>
      </c>
      <c r="W27" s="74" t="e">
        <f t="shared" ca="1" si="14"/>
        <v>#N/A</v>
      </c>
      <c r="X27" s="77" t="e">
        <f t="shared" ca="1" si="15"/>
        <v>#N/A</v>
      </c>
      <c r="Y27" s="77" t="e">
        <f t="shared" ca="1" si="9"/>
        <v>#N/A</v>
      </c>
      <c r="Z27" s="75" t="e">
        <f t="shared" ca="1" si="16"/>
        <v>#N/A</v>
      </c>
      <c r="AA27" s="75" t="e">
        <f t="shared" ca="1" si="17"/>
        <v>#N/A</v>
      </c>
      <c r="AB27" s="75" t="e">
        <f t="shared" ca="1" si="18"/>
        <v>#N/A</v>
      </c>
      <c r="AC27" s="75" t="e">
        <f t="shared" ca="1" si="19"/>
        <v>#N/A</v>
      </c>
      <c r="AD27" s="64" t="s">
        <v>28</v>
      </c>
      <c r="AE27" s="59" t="e">
        <f t="shared" si="20"/>
        <v>#N/A</v>
      </c>
    </row>
    <row r="28" spans="1:31" x14ac:dyDescent="0.2">
      <c r="A28" s="53" t="str">
        <f t="shared" si="10"/>
        <v>:</v>
      </c>
      <c r="B28" s="10"/>
      <c r="C28" s="60" t="e">
        <f>VLOOKUP(B28,'Acceptance Tests'!$A$6:$D$32,COLUMN('Acceptance Tests'!$D$6)-COLUMN('Acceptance Tests'!$A$6)+1,FALSE)</f>
        <v>#N/A</v>
      </c>
      <c r="D28" s="58"/>
      <c r="E28" s="10"/>
      <c r="F28" s="50"/>
      <c r="G28" s="68" t="e">
        <f>VLOOKUP($B28,'Acceptance Tests'!A$6:N$32,COLUMN('Acceptance Tests'!N$6)-COLUMN('Acceptance Tests'!A$6)+1,FALSE)</f>
        <v>#N/A</v>
      </c>
      <c r="H28" s="70"/>
      <c r="I28" s="70"/>
      <c r="J28" s="70"/>
      <c r="K28" s="71">
        <f t="shared" si="0"/>
        <v>0</v>
      </c>
      <c r="L28" s="71">
        <f t="shared" si="1"/>
        <v>0</v>
      </c>
      <c r="M28" s="71">
        <f t="shared" si="2"/>
        <v>0</v>
      </c>
      <c r="N28" s="71">
        <f t="shared" si="11"/>
        <v>0</v>
      </c>
      <c r="O28" s="71">
        <f t="shared" si="12"/>
        <v>0</v>
      </c>
      <c r="P28" s="71">
        <f t="shared" si="3"/>
        <v>0</v>
      </c>
      <c r="Q28" s="70">
        <f t="shared" si="21"/>
        <v>0</v>
      </c>
      <c r="R28" s="70">
        <f t="shared" si="5"/>
        <v>0</v>
      </c>
      <c r="S28" s="70">
        <f t="shared" si="6"/>
        <v>0</v>
      </c>
      <c r="T28" s="70">
        <f t="shared" si="7"/>
        <v>0</v>
      </c>
      <c r="U28" s="70">
        <f t="shared" si="8"/>
        <v>0</v>
      </c>
      <c r="V28" s="74" t="e">
        <f t="shared" ca="1" si="13"/>
        <v>#N/A</v>
      </c>
      <c r="W28" s="74" t="e">
        <f t="shared" ca="1" si="14"/>
        <v>#N/A</v>
      </c>
      <c r="X28" s="77" t="e">
        <f t="shared" ca="1" si="15"/>
        <v>#N/A</v>
      </c>
      <c r="Y28" s="77" t="e">
        <f t="shared" ca="1" si="9"/>
        <v>#N/A</v>
      </c>
      <c r="Z28" s="75" t="e">
        <f t="shared" ca="1" si="16"/>
        <v>#N/A</v>
      </c>
      <c r="AA28" s="75" t="e">
        <f t="shared" ca="1" si="17"/>
        <v>#N/A</v>
      </c>
      <c r="AB28" s="75" t="e">
        <f t="shared" ca="1" si="18"/>
        <v>#N/A</v>
      </c>
      <c r="AC28" s="75" t="e">
        <f t="shared" ca="1" si="19"/>
        <v>#N/A</v>
      </c>
      <c r="AD28" s="64" t="s">
        <v>28</v>
      </c>
      <c r="AE28" s="59" t="e">
        <f t="shared" si="20"/>
        <v>#N/A</v>
      </c>
    </row>
    <row r="29" spans="1:31" x14ac:dyDescent="0.2">
      <c r="A29" s="53" t="str">
        <f t="shared" si="10"/>
        <v>:</v>
      </c>
      <c r="B29" s="10"/>
      <c r="C29" s="60" t="e">
        <f>VLOOKUP(B29,'Acceptance Tests'!$A$6:$D$32,COLUMN('Acceptance Tests'!$D$6)-COLUMN('Acceptance Tests'!$A$6)+1,FALSE)</f>
        <v>#N/A</v>
      </c>
      <c r="D29" s="58"/>
      <c r="E29" s="10"/>
      <c r="F29" s="50"/>
      <c r="G29" s="68" t="e">
        <f>VLOOKUP($B29,'Acceptance Tests'!A$6:N$32,COLUMN('Acceptance Tests'!N$6)-COLUMN('Acceptance Tests'!A$6)+1,FALSE)</f>
        <v>#N/A</v>
      </c>
      <c r="H29" s="70"/>
      <c r="I29" s="70"/>
      <c r="J29" s="70"/>
      <c r="K29" s="71">
        <f t="shared" si="0"/>
        <v>0</v>
      </c>
      <c r="L29" s="71">
        <f t="shared" si="1"/>
        <v>0</v>
      </c>
      <c r="M29" s="71">
        <f t="shared" si="2"/>
        <v>0</v>
      </c>
      <c r="N29" s="71">
        <f t="shared" si="11"/>
        <v>0</v>
      </c>
      <c r="O29" s="71">
        <f t="shared" si="12"/>
        <v>0</v>
      </c>
      <c r="P29" s="71">
        <f t="shared" si="3"/>
        <v>0</v>
      </c>
      <c r="Q29" s="70">
        <f t="shared" si="21"/>
        <v>0</v>
      </c>
      <c r="R29" s="70">
        <f t="shared" si="5"/>
        <v>0</v>
      </c>
      <c r="S29" s="70">
        <f t="shared" si="6"/>
        <v>0</v>
      </c>
      <c r="T29" s="70">
        <f t="shared" si="7"/>
        <v>0</v>
      </c>
      <c r="U29" s="70">
        <f t="shared" si="8"/>
        <v>0</v>
      </c>
      <c r="V29" s="74" t="e">
        <f t="shared" ca="1" si="13"/>
        <v>#N/A</v>
      </c>
      <c r="W29" s="74" t="e">
        <f t="shared" ca="1" si="14"/>
        <v>#N/A</v>
      </c>
      <c r="X29" s="77" t="e">
        <f t="shared" ca="1" si="15"/>
        <v>#N/A</v>
      </c>
      <c r="Y29" s="77" t="e">
        <f t="shared" ca="1" si="9"/>
        <v>#N/A</v>
      </c>
      <c r="Z29" s="75" t="e">
        <f t="shared" ca="1" si="16"/>
        <v>#N/A</v>
      </c>
      <c r="AA29" s="75" t="e">
        <f t="shared" ca="1" si="17"/>
        <v>#N/A</v>
      </c>
      <c r="AB29" s="75" t="e">
        <f t="shared" ca="1" si="18"/>
        <v>#N/A</v>
      </c>
      <c r="AC29" s="75" t="e">
        <f t="shared" ca="1" si="19"/>
        <v>#N/A</v>
      </c>
      <c r="AD29" s="64" t="s">
        <v>28</v>
      </c>
      <c r="AE29" s="59" t="e">
        <f t="shared" si="20"/>
        <v>#N/A</v>
      </c>
    </row>
    <row r="30" spans="1:31" x14ac:dyDescent="0.2">
      <c r="A30" s="53" t="str">
        <f t="shared" si="10"/>
        <v>:</v>
      </c>
      <c r="B30" s="10"/>
      <c r="C30" s="60" t="e">
        <f>VLOOKUP(B30,'Acceptance Tests'!$A$6:$D$32,COLUMN('Acceptance Tests'!$D$6)-COLUMN('Acceptance Tests'!$A$6)+1,FALSE)</f>
        <v>#N/A</v>
      </c>
      <c r="D30" s="58"/>
      <c r="E30" s="10"/>
      <c r="F30" s="50"/>
      <c r="G30" s="68" t="e">
        <f>VLOOKUP($B30,'Acceptance Tests'!A$6:N$32,COLUMN('Acceptance Tests'!N$6)-COLUMN('Acceptance Tests'!A$6)+1,FALSE)</f>
        <v>#N/A</v>
      </c>
      <c r="H30" s="70"/>
      <c r="I30" s="70"/>
      <c r="J30" s="70"/>
      <c r="K30" s="71">
        <f t="shared" si="0"/>
        <v>0</v>
      </c>
      <c r="L30" s="71">
        <f t="shared" si="1"/>
        <v>0</v>
      </c>
      <c r="M30" s="71">
        <f t="shared" si="2"/>
        <v>0</v>
      </c>
      <c r="N30" s="71">
        <f t="shared" si="11"/>
        <v>0</v>
      </c>
      <c r="O30" s="71">
        <f t="shared" si="12"/>
        <v>0</v>
      </c>
      <c r="P30" s="71">
        <f t="shared" si="3"/>
        <v>0</v>
      </c>
      <c r="Q30" s="70">
        <f t="shared" si="21"/>
        <v>0</v>
      </c>
      <c r="R30" s="70">
        <f t="shared" si="5"/>
        <v>0</v>
      </c>
      <c r="S30" s="70">
        <f t="shared" si="6"/>
        <v>0</v>
      </c>
      <c r="T30" s="70">
        <f t="shared" si="7"/>
        <v>0</v>
      </c>
      <c r="U30" s="70">
        <f t="shared" si="8"/>
        <v>0</v>
      </c>
      <c r="V30" s="74" t="e">
        <f t="shared" ca="1" si="13"/>
        <v>#N/A</v>
      </c>
      <c r="W30" s="74" t="e">
        <f t="shared" ca="1" si="14"/>
        <v>#N/A</v>
      </c>
      <c r="X30" s="78" t="e">
        <f t="shared" ca="1" si="15"/>
        <v>#N/A</v>
      </c>
      <c r="Y30" s="78" t="e">
        <f t="shared" ca="1" si="9"/>
        <v>#N/A</v>
      </c>
      <c r="Z30" s="75" t="e">
        <f t="shared" ca="1" si="16"/>
        <v>#N/A</v>
      </c>
      <c r="AA30" s="75" t="e">
        <f t="shared" ca="1" si="17"/>
        <v>#N/A</v>
      </c>
      <c r="AB30" s="75" t="e">
        <f t="shared" ca="1" si="18"/>
        <v>#N/A</v>
      </c>
      <c r="AC30" s="75" t="e">
        <f t="shared" ca="1" si="19"/>
        <v>#N/A</v>
      </c>
      <c r="AD30" s="64" t="s">
        <v>28</v>
      </c>
      <c r="AE30" s="59" t="e">
        <f t="shared" si="20"/>
        <v>#N/A</v>
      </c>
    </row>
    <row r="31" spans="1:31" x14ac:dyDescent="0.2">
      <c r="E31" s="51" t="s">
        <v>22</v>
      </c>
      <c r="F31" s="52"/>
      <c r="G31" s="70">
        <v>1</v>
      </c>
      <c r="H31" s="72">
        <f t="shared" ref="H31:K35" si="22">SUMIF($G$4:$G$30,$G31,H$4:H$30)</f>
        <v>0</v>
      </c>
      <c r="I31" s="72">
        <f>SUMIF($G$4:$G$30,$G31,I$4:I$30)</f>
        <v>0</v>
      </c>
      <c r="J31" s="72">
        <f t="shared" si="22"/>
        <v>0</v>
      </c>
      <c r="K31" s="72">
        <f t="shared" si="22"/>
        <v>0</v>
      </c>
      <c r="L31" s="72">
        <f>SQRT(SUMIF($G$4:$G$30,$G31,M$4:M$30))</f>
        <v>0</v>
      </c>
      <c r="M31" s="72">
        <f t="shared" si="2"/>
        <v>0</v>
      </c>
      <c r="N31" s="72">
        <f t="shared" si="11"/>
        <v>0</v>
      </c>
      <c r="O31" s="72">
        <f t="shared" si="12"/>
        <v>0</v>
      </c>
      <c r="P31" s="72">
        <f t="shared" ref="P31:U35" si="23">SUMIF($G$4:$G$30,$G31,P$4:P$30)</f>
        <v>0</v>
      </c>
      <c r="Q31" s="72">
        <f t="shared" si="23"/>
        <v>0</v>
      </c>
      <c r="R31" s="72">
        <f t="shared" si="23"/>
        <v>0</v>
      </c>
      <c r="S31" s="72">
        <f t="shared" si="23"/>
        <v>0</v>
      </c>
      <c r="T31" s="72">
        <f t="shared" si="23"/>
        <v>0</v>
      </c>
      <c r="U31" s="72">
        <f t="shared" si="23"/>
        <v>0</v>
      </c>
      <c r="V31" s="79">
        <f>U31</f>
        <v>0</v>
      </c>
      <c r="W31" s="73" t="s">
        <v>28</v>
      </c>
      <c r="X31" s="73" t="s">
        <v>28</v>
      </c>
      <c r="Y31" s="66" t="s">
        <v>28</v>
      </c>
      <c r="Z31" s="66" t="s">
        <v>28</v>
      </c>
      <c r="AA31" s="66" t="s">
        <v>28</v>
      </c>
      <c r="AB31" s="66" t="s">
        <v>28</v>
      </c>
      <c r="AC31" s="66" t="s">
        <v>28</v>
      </c>
      <c r="AD31" s="67"/>
      <c r="AE31" s="67">
        <v>5</v>
      </c>
    </row>
    <row r="32" spans="1:31" x14ac:dyDescent="0.2">
      <c r="E32" s="51" t="s">
        <v>22</v>
      </c>
      <c r="F32" s="52"/>
      <c r="G32" s="70">
        <v>2</v>
      </c>
      <c r="H32" s="72">
        <f t="shared" si="22"/>
        <v>0</v>
      </c>
      <c r="I32" s="72">
        <f>SUMIF($G$4:$G$30,$G32,I$4:I$30)</f>
        <v>0</v>
      </c>
      <c r="J32" s="72">
        <f t="shared" si="22"/>
        <v>0</v>
      </c>
      <c r="K32" s="72">
        <f t="shared" si="22"/>
        <v>0</v>
      </c>
      <c r="L32" s="72">
        <f t="shared" ref="L32:L35" si="24">SQRT(SUMIF($G$4:$G$30,$G32,M$4:M$30))</f>
        <v>0</v>
      </c>
      <c r="M32" s="72">
        <f>L32*L32</f>
        <v>0</v>
      </c>
      <c r="N32" s="72">
        <f>ROUND(K32-(ROUND(SQRT(M32),0)),0)</f>
        <v>0</v>
      </c>
      <c r="O32" s="72">
        <f>ROUND(K32+(ROUND(SQRT(M32),0)),0)</f>
        <v>0</v>
      </c>
      <c r="P32" s="72">
        <f t="shared" si="23"/>
        <v>0</v>
      </c>
      <c r="Q32" s="72">
        <f t="shared" si="23"/>
        <v>0</v>
      </c>
      <c r="R32" s="72">
        <f t="shared" si="23"/>
        <v>0</v>
      </c>
      <c r="S32" s="72">
        <f t="shared" si="23"/>
        <v>0</v>
      </c>
      <c r="T32" s="72">
        <f t="shared" si="23"/>
        <v>0</v>
      </c>
      <c r="U32" s="72">
        <f t="shared" si="23"/>
        <v>0</v>
      </c>
      <c r="V32" s="79">
        <f>U32</f>
        <v>0</v>
      </c>
      <c r="W32" s="73" t="s">
        <v>28</v>
      </c>
      <c r="X32" s="73" t="s">
        <v>28</v>
      </c>
      <c r="Y32" s="66" t="s">
        <v>28</v>
      </c>
      <c r="Z32" s="66" t="s">
        <v>28</v>
      </c>
      <c r="AA32" s="66" t="s">
        <v>28</v>
      </c>
      <c r="AB32" s="66" t="s">
        <v>28</v>
      </c>
      <c r="AC32" s="66" t="s">
        <v>28</v>
      </c>
      <c r="AD32" s="67"/>
      <c r="AE32" s="67">
        <v>5</v>
      </c>
    </row>
    <row r="33" spans="5:31" x14ac:dyDescent="0.2">
      <c r="E33" s="51" t="s">
        <v>22</v>
      </c>
      <c r="F33" s="52"/>
      <c r="G33" s="70">
        <v>3</v>
      </c>
      <c r="H33" s="72">
        <f t="shared" si="22"/>
        <v>0</v>
      </c>
      <c r="I33" s="72">
        <f>SUMIF($G$4:$G$30,$G33,I$4:I$30)</f>
        <v>0</v>
      </c>
      <c r="J33" s="72">
        <f t="shared" si="22"/>
        <v>0</v>
      </c>
      <c r="K33" s="72">
        <f t="shared" si="22"/>
        <v>0</v>
      </c>
      <c r="L33" s="72">
        <f t="shared" si="24"/>
        <v>0</v>
      </c>
      <c r="M33" s="72">
        <f>L33*L33</f>
        <v>0</v>
      </c>
      <c r="N33" s="72">
        <f>ROUND(K33-(ROUND(SQRT(M33),0)),0)</f>
        <v>0</v>
      </c>
      <c r="O33" s="72">
        <f>ROUND(K33+(ROUND(SQRT(M33),0)),0)</f>
        <v>0</v>
      </c>
      <c r="P33" s="72">
        <f t="shared" si="23"/>
        <v>0</v>
      </c>
      <c r="Q33" s="72">
        <f t="shared" si="23"/>
        <v>0</v>
      </c>
      <c r="R33" s="72">
        <f t="shared" si="23"/>
        <v>0</v>
      </c>
      <c r="S33" s="72">
        <f t="shared" si="23"/>
        <v>0</v>
      </c>
      <c r="T33" s="72">
        <f t="shared" si="23"/>
        <v>0</v>
      </c>
      <c r="U33" s="72">
        <f t="shared" si="23"/>
        <v>0</v>
      </c>
      <c r="V33" s="79">
        <f>U33</f>
        <v>0</v>
      </c>
      <c r="W33" s="73" t="s">
        <v>28</v>
      </c>
      <c r="X33" s="73" t="s">
        <v>28</v>
      </c>
      <c r="Y33" s="66" t="s">
        <v>28</v>
      </c>
      <c r="Z33" s="66" t="s">
        <v>28</v>
      </c>
      <c r="AA33" s="66" t="s">
        <v>28</v>
      </c>
      <c r="AB33" s="66" t="s">
        <v>28</v>
      </c>
      <c r="AC33" s="66" t="s">
        <v>28</v>
      </c>
      <c r="AD33" s="67"/>
      <c r="AE33" s="67">
        <v>5</v>
      </c>
    </row>
    <row r="34" spans="5:31" x14ac:dyDescent="0.2">
      <c r="E34" s="51" t="s">
        <v>22</v>
      </c>
      <c r="F34" s="52"/>
      <c r="G34" s="70">
        <v>4</v>
      </c>
      <c r="H34" s="72">
        <f t="shared" si="22"/>
        <v>0</v>
      </c>
      <c r="I34" s="72">
        <f>SUMIF($G$4:$G$30,$G34,I$4:I$30)</f>
        <v>0</v>
      </c>
      <c r="J34" s="72">
        <f t="shared" si="22"/>
        <v>0</v>
      </c>
      <c r="K34" s="72">
        <f t="shared" si="22"/>
        <v>0</v>
      </c>
      <c r="L34" s="72">
        <f t="shared" si="24"/>
        <v>0</v>
      </c>
      <c r="M34" s="72">
        <f>L34*L34</f>
        <v>0</v>
      </c>
      <c r="N34" s="72">
        <f>ROUND(K34-(ROUND(SQRT(M34),0)),0)</f>
        <v>0</v>
      </c>
      <c r="O34" s="72">
        <f>ROUND(K34+(ROUND(SQRT(M34),0)),0)</f>
        <v>0</v>
      </c>
      <c r="P34" s="72">
        <f t="shared" si="23"/>
        <v>0</v>
      </c>
      <c r="Q34" s="72">
        <f t="shared" si="23"/>
        <v>0</v>
      </c>
      <c r="R34" s="72">
        <f t="shared" si="23"/>
        <v>0</v>
      </c>
      <c r="S34" s="72">
        <f t="shared" si="23"/>
        <v>0</v>
      </c>
      <c r="T34" s="72">
        <f t="shared" si="23"/>
        <v>0</v>
      </c>
      <c r="U34" s="72">
        <f t="shared" si="23"/>
        <v>0</v>
      </c>
      <c r="V34" s="79">
        <f>U34</f>
        <v>0</v>
      </c>
      <c r="W34" s="73" t="s">
        <v>28</v>
      </c>
      <c r="X34" s="73" t="s">
        <v>28</v>
      </c>
      <c r="Y34" s="66" t="s">
        <v>28</v>
      </c>
      <c r="Z34" s="66" t="s">
        <v>28</v>
      </c>
      <c r="AA34" s="66" t="s">
        <v>28</v>
      </c>
      <c r="AB34" s="66" t="s">
        <v>28</v>
      </c>
      <c r="AC34" s="66" t="s">
        <v>28</v>
      </c>
      <c r="AD34" s="67"/>
      <c r="AE34" s="67">
        <v>5</v>
      </c>
    </row>
    <row r="35" spans="5:31" x14ac:dyDescent="0.2">
      <c r="E35" s="51" t="s">
        <v>22</v>
      </c>
      <c r="F35" s="52"/>
      <c r="G35" s="70">
        <v>5</v>
      </c>
      <c r="H35" s="72">
        <f t="shared" si="22"/>
        <v>0</v>
      </c>
      <c r="I35" s="72">
        <f>SUMIF($G$4:$G$30,$G35,I$4:I$30)</f>
        <v>0</v>
      </c>
      <c r="J35" s="72">
        <f t="shared" si="22"/>
        <v>0</v>
      </c>
      <c r="K35" s="72">
        <f t="shared" si="22"/>
        <v>0</v>
      </c>
      <c r="L35" s="72">
        <f t="shared" si="24"/>
        <v>0</v>
      </c>
      <c r="M35" s="72">
        <f>L35*L35</f>
        <v>0</v>
      </c>
      <c r="N35" s="72">
        <f>ROUND(K35-(ROUND(SQRT(M35),0)),0)</f>
        <v>0</v>
      </c>
      <c r="O35" s="72">
        <f>ROUND(K35+(ROUND(SQRT(M35),0)),0)</f>
        <v>0</v>
      </c>
      <c r="P35" s="72">
        <f t="shared" si="23"/>
        <v>0</v>
      </c>
      <c r="Q35" s="72">
        <f t="shared" si="23"/>
        <v>0</v>
      </c>
      <c r="R35" s="72">
        <f t="shared" si="23"/>
        <v>0</v>
      </c>
      <c r="S35" s="72">
        <f t="shared" si="23"/>
        <v>0</v>
      </c>
      <c r="T35" s="72">
        <f t="shared" si="23"/>
        <v>0</v>
      </c>
      <c r="U35" s="72">
        <f t="shared" si="23"/>
        <v>0</v>
      </c>
      <c r="V35" s="79">
        <f>U35</f>
        <v>0</v>
      </c>
      <c r="W35" s="73" t="s">
        <v>28</v>
      </c>
      <c r="X35" s="73" t="s">
        <v>28</v>
      </c>
      <c r="Y35" s="66" t="s">
        <v>28</v>
      </c>
      <c r="Z35" s="66" t="s">
        <v>28</v>
      </c>
      <c r="AA35" s="66" t="s">
        <v>28</v>
      </c>
      <c r="AB35" s="66" t="s">
        <v>28</v>
      </c>
      <c r="AC35" s="66" t="s">
        <v>28</v>
      </c>
      <c r="AD35" s="67"/>
      <c r="AE35" s="67">
        <v>5</v>
      </c>
    </row>
  </sheetData>
  <mergeCells count="1">
    <mergeCell ref="A1:E1"/>
  </mergeCells>
  <pageMargins left="0.75" right="0.75" top="1" bottom="1" header="0.5" footer="0.5"/>
  <pageSetup paperSize="9"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46"/>
  <sheetViews>
    <sheetView workbookViewId="0">
      <selection activeCell="B7" sqref="B7"/>
    </sheetView>
  </sheetViews>
  <sheetFormatPr defaultRowHeight="12.75" x14ac:dyDescent="0.2"/>
  <cols>
    <col min="15" max="15" width="5.85546875" bestFit="1" customWidth="1"/>
    <col min="16" max="16" width="7.7109375" bestFit="1" customWidth="1"/>
    <col min="17" max="17" width="14.85546875" bestFit="1" customWidth="1"/>
  </cols>
  <sheetData>
    <row r="1" spans="1:17" x14ac:dyDescent="0.2">
      <c r="A1" s="8" t="s">
        <v>25</v>
      </c>
      <c r="B1" s="8" t="s">
        <v>36</v>
      </c>
      <c r="C1" s="8" t="s">
        <v>33</v>
      </c>
      <c r="D1" s="8" t="s">
        <v>34</v>
      </c>
      <c r="E1" s="8" t="s">
        <v>35</v>
      </c>
    </row>
    <row r="2" spans="1:17" ht="15" x14ac:dyDescent="0.25">
      <c r="A2" s="9">
        <v>1</v>
      </c>
      <c r="B2" s="5">
        <f>SUMIF('Acceptance Tests'!N$8:N$32,'Velocity Chart'!A2,'Acceptance Tests'!AG$8:AG$32)</f>
        <v>0</v>
      </c>
      <c r="C2" s="5">
        <f>AVERAGE($B$2:$B$3)</f>
        <v>0</v>
      </c>
      <c r="D2" s="5">
        <f>MIN($B$2:$B$3)</f>
        <v>0</v>
      </c>
      <c r="E2" s="5">
        <f>MAX($B$2:$B$8)</f>
        <v>0</v>
      </c>
    </row>
    <row r="3" spans="1:17" ht="15" x14ac:dyDescent="0.25">
      <c r="A3" s="9">
        <v>2</v>
      </c>
      <c r="B3" s="5">
        <f>SUMIF('Acceptance Tests'!N$8:N$32,'Velocity Chart'!A3,'Acceptance Tests'!AG$8:AG$32)</f>
        <v>0</v>
      </c>
      <c r="C3" s="5">
        <f t="shared" ref="C3:C6" si="0">AVERAGE($B$2:$B$3)</f>
        <v>0</v>
      </c>
      <c r="D3" s="5">
        <f t="shared" ref="D3:D6" si="1">MIN($B$2:$B$3)</f>
        <v>0</v>
      </c>
      <c r="E3" s="5">
        <f>MAX($B$2:$B$3)</f>
        <v>0</v>
      </c>
      <c r="O3" s="11"/>
      <c r="P3" s="11"/>
      <c r="Q3" s="11"/>
    </row>
    <row r="4" spans="1:17" ht="15" x14ac:dyDescent="0.25">
      <c r="A4" s="9">
        <v>3</v>
      </c>
      <c r="B4" s="5">
        <f>SUMIF('Acceptance Tests'!N$8:N$32,'Velocity Chart'!A4,'Acceptance Tests'!AG$8:AG$32)</f>
        <v>0</v>
      </c>
      <c r="C4" s="5">
        <f t="shared" si="0"/>
        <v>0</v>
      </c>
      <c r="D4" s="5">
        <f t="shared" si="1"/>
        <v>0</v>
      </c>
      <c r="E4" s="5">
        <f>MAX($B$2:$B$8)</f>
        <v>0</v>
      </c>
      <c r="O4" s="11"/>
      <c r="P4" s="12"/>
      <c r="Q4" s="12"/>
    </row>
    <row r="5" spans="1:17" ht="15" x14ac:dyDescent="0.25">
      <c r="A5" s="9">
        <v>4</v>
      </c>
      <c r="B5" s="5">
        <f>SUMIF('Acceptance Tests'!N$8:N$32,'Velocity Chart'!A5,'Acceptance Tests'!AG$8:AG$32)</f>
        <v>0</v>
      </c>
      <c r="C5" s="5">
        <f t="shared" si="0"/>
        <v>0</v>
      </c>
      <c r="D5" s="5">
        <f t="shared" si="1"/>
        <v>0</v>
      </c>
      <c r="E5" s="5">
        <f>MAX($B$2:$B$8)</f>
        <v>0</v>
      </c>
      <c r="O5" s="11"/>
      <c r="P5" s="12"/>
      <c r="Q5" s="12"/>
    </row>
    <row r="6" spans="1:17" ht="15" x14ac:dyDescent="0.25">
      <c r="A6" s="9">
        <v>5</v>
      </c>
      <c r="B6" s="5">
        <f>SUMIF('Acceptance Tests'!N$8:N$32,'Velocity Chart'!A6,'Acceptance Tests'!AG$8:AG$32)</f>
        <v>0</v>
      </c>
      <c r="C6" s="5">
        <f t="shared" si="0"/>
        <v>0</v>
      </c>
      <c r="D6" s="5">
        <f t="shared" si="1"/>
        <v>0</v>
      </c>
      <c r="E6" s="5">
        <f>MAX($B$2:$B$8)</f>
        <v>0</v>
      </c>
      <c r="O6" s="11"/>
      <c r="P6" s="12"/>
      <c r="Q6" s="12"/>
    </row>
    <row r="7" spans="1:17" x14ac:dyDescent="0.2">
      <c r="O7" s="11"/>
      <c r="P7" s="12"/>
      <c r="Q7" s="12"/>
    </row>
    <row r="8" spans="1:17" x14ac:dyDescent="0.2">
      <c r="O8" s="11"/>
      <c r="P8" s="12"/>
      <c r="Q8" s="12"/>
    </row>
    <row r="9" spans="1:17" x14ac:dyDescent="0.2">
      <c r="O9" s="11"/>
      <c r="P9" s="12"/>
      <c r="Q9" s="12"/>
    </row>
    <row r="20" spans="1:5" x14ac:dyDescent="0.2">
      <c r="A20" s="8" t="s">
        <v>25</v>
      </c>
      <c r="B20" s="8" t="s">
        <v>36</v>
      </c>
      <c r="C20" s="8" t="s">
        <v>33</v>
      </c>
      <c r="D20" s="8" t="s">
        <v>34</v>
      </c>
      <c r="E20" s="8" t="s">
        <v>35</v>
      </c>
    </row>
    <row r="21" spans="1:5" ht="15" x14ac:dyDescent="0.25">
      <c r="A21" s="9">
        <v>1</v>
      </c>
      <c r="B21" s="5">
        <f>SUMIF('Acceptance Tests'!N$6:N$32,A21,'Acceptance Tests'!U$6:U$32)</f>
        <v>0</v>
      </c>
      <c r="C21" s="5">
        <f>AVERAGE($B$21:$B$22)</f>
        <v>0</v>
      </c>
      <c r="D21" s="5">
        <f>MIN($B$21:$B$22)</f>
        <v>0</v>
      </c>
      <c r="E21" s="5">
        <f>MAX($B$21:$B$22)</f>
        <v>0</v>
      </c>
    </row>
    <row r="22" spans="1:5" ht="15" x14ac:dyDescent="0.25">
      <c r="A22" s="9">
        <v>2</v>
      </c>
      <c r="B22" s="5">
        <f>SUMIF('Acceptance Tests'!N$6:N$32,A22,'Acceptance Tests'!U$6:U$32)</f>
        <v>0</v>
      </c>
      <c r="C22" s="5">
        <f t="shared" ref="C22:C25" si="2">AVERAGE($B$21:$B$22)</f>
        <v>0</v>
      </c>
      <c r="D22" s="5">
        <f t="shared" ref="D22:D25" si="3">MIN($B$21:$B$22)</f>
        <v>0</v>
      </c>
      <c r="E22" s="5">
        <f t="shared" ref="E22:E25" si="4">MAX($B$21:$B$22)</f>
        <v>0</v>
      </c>
    </row>
    <row r="23" spans="1:5" ht="15" x14ac:dyDescent="0.25">
      <c r="A23" s="9">
        <v>3</v>
      </c>
      <c r="B23" s="5">
        <f>SUMIF('Acceptance Tests'!N$6:N$32,A23,'Acceptance Tests'!U$6:U$32)</f>
        <v>0</v>
      </c>
      <c r="C23" s="5">
        <f t="shared" si="2"/>
        <v>0</v>
      </c>
      <c r="D23" s="5">
        <f t="shared" si="3"/>
        <v>0</v>
      </c>
      <c r="E23" s="5">
        <f t="shared" si="4"/>
        <v>0</v>
      </c>
    </row>
    <row r="24" spans="1:5" ht="15" x14ac:dyDescent="0.25">
      <c r="A24" s="9">
        <v>4</v>
      </c>
      <c r="B24" s="5">
        <f>SUMIF('Acceptance Tests'!N$6:N$32,A24,'Acceptance Tests'!U$6:U$32)</f>
        <v>0</v>
      </c>
      <c r="C24" s="5">
        <f t="shared" si="2"/>
        <v>0</v>
      </c>
      <c r="D24" s="5">
        <f t="shared" si="3"/>
        <v>0</v>
      </c>
      <c r="E24" s="5">
        <f t="shared" si="4"/>
        <v>0</v>
      </c>
    </row>
    <row r="25" spans="1:5" ht="15" x14ac:dyDescent="0.25">
      <c r="A25" s="9">
        <v>5</v>
      </c>
      <c r="B25" s="5">
        <f>SUMIF('Acceptance Tests'!N$6:N$32,A25,'Acceptance Tests'!U$6:U$32)</f>
        <v>0</v>
      </c>
      <c r="C25" s="5">
        <f t="shared" si="2"/>
        <v>0</v>
      </c>
      <c r="D25" s="5">
        <f t="shared" si="3"/>
        <v>0</v>
      </c>
      <c r="E25" s="5">
        <f t="shared" si="4"/>
        <v>0</v>
      </c>
    </row>
    <row r="33" spans="1:5" x14ac:dyDescent="0.2">
      <c r="B33" s="81"/>
    </row>
    <row r="34" spans="1:5" x14ac:dyDescent="0.2">
      <c r="B34" s="81"/>
    </row>
    <row r="35" spans="1:5" x14ac:dyDescent="0.2">
      <c r="B35" s="81"/>
    </row>
    <row r="41" spans="1:5" x14ac:dyDescent="0.2">
      <c r="A41" s="8" t="s">
        <v>25</v>
      </c>
      <c r="B41" s="8" t="s">
        <v>36</v>
      </c>
      <c r="C41" s="8" t="s">
        <v>33</v>
      </c>
      <c r="D41" s="8" t="s">
        <v>34</v>
      </c>
      <c r="E41" s="8" t="s">
        <v>35</v>
      </c>
    </row>
    <row r="42" spans="1:5" ht="15" x14ac:dyDescent="0.25">
      <c r="A42" s="9">
        <v>1</v>
      </c>
      <c r="B42" s="5">
        <f>VLOOKUP(A42,Tasks!$G$31:$AE$35,COLUMN(Tasks!$AD$35) - COLUMN(Tasks!$G$31)+1,FALSE)</f>
        <v>0</v>
      </c>
      <c r="C42" s="5">
        <f>AVERAGE($B$42:$B$46)</f>
        <v>0</v>
      </c>
      <c r="D42" s="5">
        <f>MIN($B$42:$B$46)</f>
        <v>0</v>
      </c>
      <c r="E42" s="5">
        <f>MAX($B$42:$B$46)</f>
        <v>0</v>
      </c>
    </row>
    <row r="43" spans="1:5" ht="15" x14ac:dyDescent="0.25">
      <c r="A43" s="9">
        <v>2</v>
      </c>
      <c r="B43" s="5">
        <f>VLOOKUP(A43,Tasks!$G$31:$AE$35,COLUMN(Tasks!$AD$35) - COLUMN(Tasks!$G$31)+1,FALSE)</f>
        <v>0</v>
      </c>
      <c r="C43" s="5">
        <f>AVERAGE($B$42:$B$48)</f>
        <v>0</v>
      </c>
      <c r="D43" s="5">
        <f t="shared" ref="D43:D46" si="5">MIN($B$42:$B$46)</f>
        <v>0</v>
      </c>
      <c r="E43" s="5">
        <f t="shared" ref="E43:E46" si="6">MAX($B$42:$B$46)</f>
        <v>0</v>
      </c>
    </row>
    <row r="44" spans="1:5" ht="15" x14ac:dyDescent="0.25">
      <c r="A44" s="9">
        <v>3</v>
      </c>
      <c r="B44" s="5">
        <f>VLOOKUP(A44,Tasks!$G$31:$AE$35,COLUMN(Tasks!$AD$35) - COLUMN(Tasks!$G$31)+1,FALSE)</f>
        <v>0</v>
      </c>
      <c r="C44" s="5">
        <f>AVERAGE($B$42:$B$48)</f>
        <v>0</v>
      </c>
      <c r="D44" s="5">
        <f t="shared" si="5"/>
        <v>0</v>
      </c>
      <c r="E44" s="5">
        <f t="shared" si="6"/>
        <v>0</v>
      </c>
    </row>
    <row r="45" spans="1:5" ht="15" x14ac:dyDescent="0.25">
      <c r="A45" s="9">
        <v>4</v>
      </c>
      <c r="B45" s="5">
        <f>VLOOKUP(A45,Tasks!$G$31:$AE$35,COLUMN(Tasks!$AD$35) - COLUMN(Tasks!$G$31)+1,FALSE)</f>
        <v>0</v>
      </c>
      <c r="C45" s="5">
        <f>AVERAGE($B$42:$B$48)</f>
        <v>0</v>
      </c>
      <c r="D45" s="5">
        <f t="shared" si="5"/>
        <v>0</v>
      </c>
      <c r="E45" s="5">
        <f t="shared" si="6"/>
        <v>0</v>
      </c>
    </row>
    <row r="46" spans="1:5" ht="15" x14ac:dyDescent="0.25">
      <c r="A46" s="9">
        <v>5</v>
      </c>
      <c r="B46" s="5">
        <f>VLOOKUP(A46,Tasks!$G$31:$AE$35,COLUMN(Tasks!$AD$35) - COLUMN(Tasks!$G$31)+1,FALSE)</f>
        <v>0</v>
      </c>
      <c r="C46" s="5">
        <f>AVERAGE($B$42:$B$48)</f>
        <v>0</v>
      </c>
      <c r="D46" s="5">
        <f t="shared" si="5"/>
        <v>0</v>
      </c>
      <c r="E46" s="5">
        <f t="shared" si="6"/>
        <v>0</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6"/>
  <sheetViews>
    <sheetView workbookViewId="0">
      <selection activeCell="C11" sqref="C11"/>
    </sheetView>
  </sheetViews>
  <sheetFormatPr defaultRowHeight="12.75" x14ac:dyDescent="0.2"/>
  <cols>
    <col min="1" max="1" width="6.42578125" bestFit="1" customWidth="1"/>
    <col min="2" max="2" width="8.28515625" bestFit="1" customWidth="1"/>
    <col min="3" max="3" width="16.28515625" bestFit="1" customWidth="1"/>
    <col min="4" max="4" width="4.28515625" bestFit="1" customWidth="1"/>
    <col min="5" max="5" width="4.85546875" bestFit="1" customWidth="1"/>
    <col min="15" max="15" width="5.85546875" bestFit="1" customWidth="1"/>
    <col min="16" max="16" width="7.7109375" bestFit="1" customWidth="1"/>
    <col min="17" max="17" width="14.85546875" bestFit="1" customWidth="1"/>
  </cols>
  <sheetData>
    <row r="1" spans="1:5" x14ac:dyDescent="0.2">
      <c r="A1" s="148" t="s">
        <v>79</v>
      </c>
      <c r="B1" s="148"/>
      <c r="C1" s="148"/>
      <c r="D1" s="148"/>
      <c r="E1" s="148"/>
    </row>
    <row r="2" spans="1:5" s="138" customFormat="1" x14ac:dyDescent="0.2">
      <c r="A2" s="137" t="str">
        <f>'Velocity Chart'!A20</f>
        <v>Sprint</v>
      </c>
      <c r="B2" s="137" t="str">
        <f>'Velocity Chart'!B20</f>
        <v>Velocity</v>
      </c>
      <c r="C2" s="137" t="str">
        <f>'Velocity Chart'!C20</f>
        <v>Average</v>
      </c>
      <c r="D2" s="137" t="str">
        <f>'Velocity Chart'!D20</f>
        <v>Min</v>
      </c>
      <c r="E2" s="137" t="str">
        <f>'Velocity Chart'!E20</f>
        <v>Max</v>
      </c>
    </row>
    <row r="3" spans="1:5" x14ac:dyDescent="0.2">
      <c r="A3" s="8">
        <f>'Velocity Chart'!A21</f>
        <v>1</v>
      </c>
      <c r="B3" s="139">
        <f>'Velocity Chart'!B21</f>
        <v>0</v>
      </c>
      <c r="C3" s="139">
        <f>'Velocity Chart'!C21</f>
        <v>0</v>
      </c>
      <c r="D3" s="139">
        <f>'Velocity Chart'!D21</f>
        <v>0</v>
      </c>
      <c r="E3" s="139">
        <f>'Velocity Chart'!E21</f>
        <v>0</v>
      </c>
    </row>
    <row r="4" spans="1:5" x14ac:dyDescent="0.2">
      <c r="A4" s="8">
        <f>'Velocity Chart'!A22</f>
        <v>2</v>
      </c>
      <c r="B4" s="139">
        <f>'Velocity Chart'!B22</f>
        <v>0</v>
      </c>
      <c r="C4" s="139">
        <f>'Velocity Chart'!C22</f>
        <v>0</v>
      </c>
      <c r="D4" s="139">
        <f>'Velocity Chart'!D22</f>
        <v>0</v>
      </c>
      <c r="E4" s="139">
        <f>'Velocity Chart'!E22</f>
        <v>0</v>
      </c>
    </row>
    <row r="5" spans="1:5" x14ac:dyDescent="0.2">
      <c r="A5" s="8">
        <f>'Velocity Chart'!A23</f>
        <v>3</v>
      </c>
      <c r="B5" s="139">
        <f>'Velocity Chart'!B23</f>
        <v>0</v>
      </c>
      <c r="C5" s="139">
        <f>'Velocity Chart'!C23</f>
        <v>0</v>
      </c>
      <c r="D5" s="139">
        <f>'Velocity Chart'!D23</f>
        <v>0</v>
      </c>
      <c r="E5" s="139">
        <f>'Velocity Chart'!E23</f>
        <v>0</v>
      </c>
    </row>
    <row r="6" spans="1:5" x14ac:dyDescent="0.2">
      <c r="A6" s="8">
        <f>'Velocity Chart'!A24</f>
        <v>4</v>
      </c>
      <c r="B6" s="139">
        <f>'Velocity Chart'!B24</f>
        <v>0</v>
      </c>
      <c r="C6" s="139">
        <f>'Velocity Chart'!C24</f>
        <v>0</v>
      </c>
      <c r="D6" s="139">
        <f>'Velocity Chart'!D24</f>
        <v>0</v>
      </c>
      <c r="E6" s="139">
        <f>'Velocity Chart'!E24</f>
        <v>0</v>
      </c>
    </row>
    <row r="7" spans="1:5" x14ac:dyDescent="0.2">
      <c r="A7" s="8">
        <f>'Velocity Chart'!A25</f>
        <v>5</v>
      </c>
      <c r="B7" s="139">
        <f>'Velocity Chart'!B25</f>
        <v>0</v>
      </c>
      <c r="C7" s="139">
        <f>'Velocity Chart'!C25</f>
        <v>0</v>
      </c>
      <c r="D7" s="139">
        <f>'Velocity Chart'!D25</f>
        <v>0</v>
      </c>
      <c r="E7" s="139">
        <f>'Velocity Chart'!E25</f>
        <v>0</v>
      </c>
    </row>
    <row r="10" spans="1:5" x14ac:dyDescent="0.2">
      <c r="A10" s="8" t="str">
        <f>A2</f>
        <v>Sprint</v>
      </c>
      <c r="B10" s="8" t="s">
        <v>36</v>
      </c>
      <c r="C10" s="8" t="s">
        <v>45</v>
      </c>
    </row>
    <row r="11" spans="1:5" x14ac:dyDescent="0.2">
      <c r="A11" s="8">
        <v>0</v>
      </c>
      <c r="B11" s="136">
        <v>0</v>
      </c>
      <c r="C11" s="136">
        <f>'Acceptance Tests'!U36</f>
        <v>0</v>
      </c>
    </row>
    <row r="12" spans="1:5" x14ac:dyDescent="0.2">
      <c r="A12" s="8">
        <f>A3</f>
        <v>1</v>
      </c>
      <c r="B12" s="136">
        <f>IF(B3&gt;0,B3,0)</f>
        <v>0</v>
      </c>
      <c r="C12" s="136">
        <f>C11-B12</f>
        <v>0</v>
      </c>
    </row>
    <row r="13" spans="1:5" x14ac:dyDescent="0.2">
      <c r="A13" s="8">
        <f>A4</f>
        <v>2</v>
      </c>
      <c r="B13" s="136">
        <f>IF(B4&gt;0,B4,B12)</f>
        <v>0</v>
      </c>
      <c r="C13" s="136">
        <f>C12-B13</f>
        <v>0</v>
      </c>
    </row>
    <row r="14" spans="1:5" x14ac:dyDescent="0.2">
      <c r="A14" s="8">
        <f>A5</f>
        <v>3</v>
      </c>
      <c r="B14" s="136">
        <f>IF(B5&gt;0,B5,(B12+B13)/2)</f>
        <v>0</v>
      </c>
      <c r="C14" s="136">
        <f>C13-B14</f>
        <v>0</v>
      </c>
    </row>
    <row r="15" spans="1:5" x14ac:dyDescent="0.2">
      <c r="A15" s="8">
        <f>A6</f>
        <v>4</v>
      </c>
      <c r="B15" s="136">
        <f>IF(B6&gt;0,B6,(B12+B13+B14)/3)</f>
        <v>0</v>
      </c>
      <c r="C15" s="136">
        <f>C14-B15</f>
        <v>0</v>
      </c>
    </row>
    <row r="16" spans="1:5" x14ac:dyDescent="0.2">
      <c r="A16" s="8">
        <f>A7</f>
        <v>5</v>
      </c>
      <c r="B16" s="136">
        <f>IF(B7&gt;0,B7,(B13+B14+B15)/3)</f>
        <v>0</v>
      </c>
      <c r="C16" s="136">
        <f>C15-B16</f>
        <v>0</v>
      </c>
    </row>
  </sheetData>
  <mergeCells count="1">
    <mergeCell ref="A1:E1"/>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H17"/>
  <sheetViews>
    <sheetView workbookViewId="0">
      <selection activeCell="C4" sqref="C4"/>
    </sheetView>
  </sheetViews>
  <sheetFormatPr defaultColWidth="8.5703125" defaultRowHeight="12.75" x14ac:dyDescent="0.2"/>
  <cols>
    <col min="2" max="2" width="22.42578125" customWidth="1"/>
    <col min="3" max="3" width="14.140625" bestFit="1" customWidth="1"/>
  </cols>
  <sheetData>
    <row r="3" spans="2:8" ht="19.5" x14ac:dyDescent="0.2">
      <c r="B3" s="7" t="s">
        <v>43</v>
      </c>
      <c r="C3" s="3">
        <v>1</v>
      </c>
    </row>
    <row r="4" spans="2:8" ht="19.5" x14ac:dyDescent="0.2">
      <c r="B4" s="7" t="s">
        <v>44</v>
      </c>
      <c r="C4" s="4">
        <f>VLOOKUP($C$3,Tasks!$G$31:$AE$35,COLUMN(Tasks!$AE$31)-COLUMN(Tasks!$G$31)+1,FALSE)</f>
        <v>5</v>
      </c>
    </row>
    <row r="5" spans="2:8" ht="19.5" x14ac:dyDescent="0.2">
      <c r="B5" s="7"/>
      <c r="H5" s="2"/>
    </row>
    <row r="6" spans="2:8" ht="19.5" x14ac:dyDescent="0.2">
      <c r="B6" s="7" t="s">
        <v>78</v>
      </c>
      <c r="C6" s="7">
        <v>0</v>
      </c>
      <c r="D6" s="7">
        <v>1</v>
      </c>
      <c r="E6" s="7">
        <v>2</v>
      </c>
      <c r="F6" s="7">
        <v>3</v>
      </c>
      <c r="G6" s="7">
        <v>4</v>
      </c>
      <c r="H6" s="7">
        <v>5</v>
      </c>
    </row>
    <row r="7" spans="2:8" ht="19.5" x14ac:dyDescent="0.2">
      <c r="B7" s="7" t="str">
        <f>CONCATENATE("Sprint ",C3)</f>
        <v>Sprint 1</v>
      </c>
      <c r="C7" s="80">
        <f>VLOOKUP($C$3,Tasks!$G$31:$AE$35,COLUMN(Tasks!$P$31)-COLUMN(Tasks!$G$31)+1+C6,FALSE)</f>
        <v>0</v>
      </c>
      <c r="D7" s="80">
        <f>VLOOKUP($C$3,Tasks!$G$31:$AE$35,COLUMN(Tasks!$P$31)-COLUMN(Tasks!$G$31)+1+D6,FALSE)</f>
        <v>0</v>
      </c>
      <c r="E7" s="80">
        <f>VLOOKUP($C$3,Tasks!$G$31:$AE$35,COLUMN(Tasks!$P$31)-COLUMN(Tasks!$G$31)+1+E6,FALSE)</f>
        <v>0</v>
      </c>
      <c r="F7" s="80">
        <f>VLOOKUP($C$3,Tasks!$G$31:$AE$35,COLUMN(Tasks!$P$31)-COLUMN(Tasks!$G$31)+1+F6,FALSE)</f>
        <v>0</v>
      </c>
      <c r="G7" s="80">
        <f>VLOOKUP($C$3,Tasks!$G$31:$AE$35,COLUMN(Tasks!$P$31)-COLUMN(Tasks!$G$31)+1+G6,FALSE)</f>
        <v>0</v>
      </c>
      <c r="H7" s="80">
        <f>VLOOKUP($C$3,Tasks!$G$31:$AE$35,COLUMN(Tasks!$P$31)-COLUMN(Tasks!$G$31)+1+H6,FALSE)</f>
        <v>0</v>
      </c>
    </row>
    <row r="8" spans="2:8" ht="19.5" x14ac:dyDescent="0.2">
      <c r="B8" s="7" t="s">
        <v>32</v>
      </c>
      <c r="C8" s="80">
        <f>C7</f>
        <v>0</v>
      </c>
      <c r="D8" s="80">
        <f>$C8-$C8*D$6/$C$4</f>
        <v>0</v>
      </c>
      <c r="E8" s="80">
        <f>$C8-$C8*E$6/$C$4</f>
        <v>0</v>
      </c>
      <c r="F8" s="80">
        <f>$C8-$C8*F$6/$C$4</f>
        <v>0</v>
      </c>
      <c r="G8" s="80">
        <f>$C8-$C8*G$6/$C$4</f>
        <v>0</v>
      </c>
      <c r="H8" s="80">
        <f>$C8-$C8*H$6/$C$4</f>
        <v>0</v>
      </c>
    </row>
    <row r="12" spans="2:8" x14ac:dyDescent="0.2">
      <c r="B12" s="2"/>
    </row>
    <row r="13" spans="2:8" x14ac:dyDescent="0.2">
      <c r="B13" s="2"/>
    </row>
    <row r="14" spans="2:8" x14ac:dyDescent="0.2">
      <c r="B14" s="2"/>
    </row>
    <row r="15" spans="2:8" x14ac:dyDescent="0.2">
      <c r="B15" s="2"/>
    </row>
    <row r="16" spans="2:8" x14ac:dyDescent="0.2">
      <c r="B16" s="2"/>
    </row>
    <row r="17" spans="2:2" x14ac:dyDescent="0.2">
      <c r="B17" s="2"/>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5"/>
  <sheetViews>
    <sheetView workbookViewId="0">
      <selection activeCell="B23" sqref="B23"/>
    </sheetView>
  </sheetViews>
  <sheetFormatPr defaultRowHeight="12.75" x14ac:dyDescent="0.2"/>
  <cols>
    <col min="1" max="1" width="19" customWidth="1"/>
    <col min="2" max="3" width="22.85546875" bestFit="1" customWidth="1"/>
    <col min="4" max="4" width="11.7109375" customWidth="1"/>
    <col min="5" max="5" width="12" customWidth="1"/>
  </cols>
  <sheetData>
    <row r="1" spans="1:5" x14ac:dyDescent="0.2">
      <c r="A1" s="1" t="s">
        <v>5</v>
      </c>
      <c r="B1" s="1" t="s">
        <v>50</v>
      </c>
      <c r="C1" s="1" t="s">
        <v>86</v>
      </c>
      <c r="D1" s="1"/>
      <c r="E1" s="1"/>
    </row>
    <row r="2" spans="1:5" x14ac:dyDescent="0.2">
      <c r="A2" s="2" t="s">
        <v>39</v>
      </c>
      <c r="B2" s="2" t="s">
        <v>92</v>
      </c>
      <c r="C2" s="2" t="s">
        <v>87</v>
      </c>
      <c r="D2" s="1"/>
      <c r="E2" s="1"/>
    </row>
    <row r="3" spans="1:5" x14ac:dyDescent="0.2">
      <c r="A3" t="s">
        <v>6</v>
      </c>
      <c r="B3" s="2" t="s">
        <v>93</v>
      </c>
      <c r="C3" s="2" t="s">
        <v>88</v>
      </c>
    </row>
    <row r="4" spans="1:5" x14ac:dyDescent="0.2">
      <c r="A4" s="2" t="s">
        <v>41</v>
      </c>
      <c r="B4" s="2" t="s">
        <v>94</v>
      </c>
    </row>
    <row r="5" spans="1:5" x14ac:dyDescent="0.2">
      <c r="A5" s="2" t="s">
        <v>40</v>
      </c>
    </row>
  </sheetData>
  <phoneticPr fontId="0"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663"/>
  <sheetViews>
    <sheetView workbookViewId="0">
      <selection activeCell="A690" sqref="A690"/>
    </sheetView>
  </sheetViews>
  <sheetFormatPr defaultRowHeight="12.75" x14ac:dyDescent="0.2"/>
  <sheetData>
    <row r="1" spans="1:1" x14ac:dyDescent="0.2">
      <c r="A1" s="1"/>
    </row>
    <row r="30" spans="1:1" x14ac:dyDescent="0.2">
      <c r="A30" s="1"/>
    </row>
    <row r="92" spans="1:1" x14ac:dyDescent="0.2">
      <c r="A92" s="1"/>
    </row>
    <row r="120" spans="1:1" x14ac:dyDescent="0.2">
      <c r="A120" s="1"/>
    </row>
    <row r="139" spans="1:1" x14ac:dyDescent="0.2">
      <c r="A139" s="1"/>
    </row>
    <row r="164" spans="1:1" x14ac:dyDescent="0.2">
      <c r="A164" s="1"/>
    </row>
    <row r="251" spans="1:1" x14ac:dyDescent="0.2">
      <c r="A251">
        <v>21.2</v>
      </c>
    </row>
    <row r="334" spans="1:1" x14ac:dyDescent="0.2">
      <c r="A334">
        <v>48.1</v>
      </c>
    </row>
    <row r="340" spans="1:1" x14ac:dyDescent="0.2">
      <c r="A340" t="s">
        <v>9</v>
      </c>
    </row>
    <row r="393" spans="1:1" x14ac:dyDescent="0.2">
      <c r="A393" t="s">
        <v>10</v>
      </c>
    </row>
    <row r="491" spans="1:1" x14ac:dyDescent="0.2">
      <c r="A491" t="s">
        <v>11</v>
      </c>
    </row>
    <row r="602" spans="1:1" x14ac:dyDescent="0.2">
      <c r="A602" t="s">
        <v>12</v>
      </c>
    </row>
    <row r="632" spans="1:1" x14ac:dyDescent="0.2">
      <c r="A632" t="s">
        <v>13</v>
      </c>
    </row>
    <row r="663" spans="1:1" x14ac:dyDescent="0.2">
      <c r="A663" t="s">
        <v>14</v>
      </c>
    </row>
  </sheetData>
  <phoneticPr fontId="0" type="noConversion"/>
  <pageMargins left="0.75" right="0.75" top="1" bottom="1" header="0.5" footer="0.5"/>
  <pageSetup paperSize="9" orientation="portrait" horizontalDpi="4294967294"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itle_x0020_2 xmlns="4584ecdd-8efe-4ff9-89f0-63d30ac582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4D1A8099B9FAF4F90D3449D11C66F62" ma:contentTypeVersion="1" ma:contentTypeDescription="Create a new document." ma:contentTypeScope="" ma:versionID="aedc46fda39b73d363aaf3fe020cc957">
  <xsd:schema xmlns:xsd="http://www.w3.org/2001/XMLSchema" xmlns:xs="http://www.w3.org/2001/XMLSchema" xmlns:p="http://schemas.microsoft.com/office/2006/metadata/properties" xmlns:ns2="4584ecdd-8efe-4ff9-89f0-63d30ac58206" targetNamespace="http://schemas.microsoft.com/office/2006/metadata/properties" ma:root="true" ma:fieldsID="cdb409e031d95a7ce61e3ef1b9c76084" ns2:_="">
    <xsd:import namespace="4584ecdd-8efe-4ff9-89f0-63d30ac58206"/>
    <xsd:element name="properties">
      <xsd:complexType>
        <xsd:sequence>
          <xsd:element name="documentManagement">
            <xsd:complexType>
              <xsd:all>
                <xsd:element ref="ns2:Title_x0020_2"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584ecdd-8efe-4ff9-89f0-63d30ac58206" elementFormDefault="qualified">
    <xsd:import namespace="http://schemas.microsoft.com/office/2006/documentManagement/types"/>
    <xsd:import namespace="http://schemas.microsoft.com/office/infopath/2007/PartnerControls"/>
    <xsd:element name="Title_x0020_2" ma:index="8" nillable="true" ma:displayName="Title 2" ma:internalName="Title_x0020_2">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A39F58-A1CE-42F9-9A4A-41CF67BB89BB}">
  <ds:schemaRef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http://www.w3.org/XML/1998/namespace"/>
    <ds:schemaRef ds:uri="http://purl.org/dc/terms/"/>
    <ds:schemaRef ds:uri="http://purl.org/dc/elements/1.1/"/>
    <ds:schemaRef ds:uri="4584ecdd-8efe-4ff9-89f0-63d30ac58206"/>
    <ds:schemaRef ds:uri="http://schemas.microsoft.com/office/2006/metadata/properties"/>
  </ds:schemaRefs>
</ds:datastoreItem>
</file>

<file path=customXml/itemProps2.xml><?xml version="1.0" encoding="utf-8"?>
<ds:datastoreItem xmlns:ds="http://schemas.openxmlformats.org/officeDocument/2006/customXml" ds:itemID="{4B0D9967-2E5C-441A-A6BF-A33052F082F6}">
  <ds:schemaRefs>
    <ds:schemaRef ds:uri="http://schemas.microsoft.com/sharepoint/v3/contenttype/forms"/>
  </ds:schemaRefs>
</ds:datastoreItem>
</file>

<file path=customXml/itemProps3.xml><?xml version="1.0" encoding="utf-8"?>
<ds:datastoreItem xmlns:ds="http://schemas.openxmlformats.org/officeDocument/2006/customXml" ds:itemID="{A49765A1-317A-439A-9E4B-54034F5B5F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584ecdd-8efe-4ff9-89f0-63d30ac582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Acceptance Tests</vt:lpstr>
      <vt:lpstr>Simple Read Only PBL</vt:lpstr>
      <vt:lpstr>Tasks</vt:lpstr>
      <vt:lpstr>Velocity Chart</vt:lpstr>
      <vt:lpstr>Backlog Burndown Chart</vt:lpstr>
      <vt:lpstr>Sprint Burndown Chart</vt:lpstr>
      <vt:lpstr>Parameters</vt:lpstr>
      <vt:lpstr>Error Images</vt:lpstr>
    </vt:vector>
  </TitlesOfParts>
  <Company>OMS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Requirement documentation</dc:title>
  <dc:creator>S29591</dc:creator>
  <cp:lastModifiedBy>Lövdinger Per</cp:lastModifiedBy>
  <cp:lastPrinted>2013-09-24T13:44:04Z</cp:lastPrinted>
  <dcterms:created xsi:type="dcterms:W3CDTF">2002-02-22T13:58:39Z</dcterms:created>
  <dcterms:modified xsi:type="dcterms:W3CDTF">2016-11-04T15:59:23Z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0x010100F4D1A8099B9FAF4F90D3449D11C66F62</vt:lpwstr>
  </property>
  <property fmtid="{D5CDD505-2E9C-101B-9397-08002B2CF9AE}" pid="3" name="Order">
    <vt:r8>109100</vt:r8>
  </property>
</Properties>
</file>