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0305" yWindow="165" windowWidth="4815" windowHeight="7200"/>
  </bookViews>
  <sheets>
    <sheet name="Acceptance Tests" sheetId="9" r:id="rId1"/>
    <sheet name="Terms" sheetId="20" r:id="rId2"/>
    <sheet name="Simple Read Only PBL" sheetId="17" r:id="rId3"/>
    <sheet name="Tasks" sheetId="10" r:id="rId4"/>
    <sheet name="Velocity Chart" sheetId="14" r:id="rId5"/>
    <sheet name="Backlog Burndown Chart" sheetId="19" r:id="rId6"/>
    <sheet name="Sprint Burndown Chart" sheetId="15" r:id="rId7"/>
    <sheet name="Parameters" sheetId="2" r:id="rId8"/>
    <sheet name="Error Images" sheetId="3" r:id="rId9"/>
  </sheets>
  <definedNames>
    <definedName name="_xlnm._FilterDatabase" localSheetId="0" hidden="1">'Acceptance Tests'!$A$5:$AT$127</definedName>
    <definedName name="_xlnm._FilterDatabase" localSheetId="3" hidden="1">Tasks!$B$3:$AC$35</definedName>
  </definedNames>
  <calcPr calcId="145621"/>
</workbook>
</file>

<file path=xl/calcChain.xml><?xml version="1.0" encoding="utf-8"?>
<calcChain xmlns="http://schemas.openxmlformats.org/spreadsheetml/2006/main">
  <c r="D74" i="9" l="1"/>
  <c r="D81" i="9"/>
  <c r="D106" i="9"/>
  <c r="D105" i="9"/>
  <c r="D104" i="9"/>
  <c r="D128" i="9"/>
  <c r="D103" i="9"/>
  <c r="D102" i="9"/>
  <c r="D35" i="9" l="1"/>
  <c r="D34" i="9"/>
  <c r="D197" i="9"/>
  <c r="D196" i="9"/>
  <c r="D195" i="9"/>
  <c r="D194" i="9"/>
  <c r="D193" i="9"/>
  <c r="D192" i="9"/>
  <c r="D191" i="9"/>
  <c r="D190" i="9"/>
  <c r="D189" i="9"/>
  <c r="D188" i="9"/>
  <c r="D187" i="9"/>
  <c r="D186" i="9"/>
  <c r="D185" i="9"/>
  <c r="D184" i="9"/>
  <c r="D183" i="9"/>
  <c r="D182" i="9"/>
  <c r="D181" i="9"/>
  <c r="D180" i="9"/>
  <c r="D179" i="9"/>
  <c r="D178" i="9"/>
  <c r="D177" i="9"/>
  <c r="D176" i="9"/>
  <c r="D175" i="9"/>
  <c r="D174" i="9"/>
  <c r="D173" i="9"/>
  <c r="D172" i="9"/>
  <c r="D171" i="9"/>
  <c r="D170" i="9"/>
  <c r="D169" i="9"/>
  <c r="D168" i="9"/>
  <c r="D167" i="9"/>
  <c r="D166" i="9"/>
  <c r="D165" i="9"/>
  <c r="D164" i="9"/>
  <c r="D163" i="9"/>
  <c r="D162" i="9"/>
  <c r="D161" i="9"/>
  <c r="D160" i="9"/>
  <c r="D159" i="9"/>
  <c r="D158" i="9"/>
  <c r="D157" i="9"/>
  <c r="D156" i="9"/>
  <c r="D155" i="9"/>
  <c r="D154" i="9"/>
  <c r="D153" i="9"/>
  <c r="D152" i="9"/>
  <c r="D151" i="9"/>
  <c r="D150" i="9"/>
  <c r="D149" i="9"/>
  <c r="D148" i="9"/>
  <c r="D147" i="9"/>
  <c r="D146" i="9"/>
  <c r="D145" i="9"/>
  <c r="D144" i="9"/>
  <c r="D143" i="9"/>
  <c r="D142" i="9"/>
  <c r="D141" i="9"/>
  <c r="D140" i="9"/>
  <c r="D139" i="9"/>
  <c r="D138" i="9"/>
  <c r="D137" i="9"/>
  <c r="D136" i="9"/>
  <c r="D135" i="9"/>
  <c r="D134" i="9"/>
  <c r="D133" i="9"/>
  <c r="D132" i="9"/>
  <c r="D131" i="9"/>
  <c r="D130" i="9"/>
  <c r="D129" i="9"/>
  <c r="D20" i="9"/>
  <c r="D19" i="9"/>
  <c r="D18" i="9"/>
  <c r="D17" i="9"/>
  <c r="D29" i="9"/>
  <c r="D28" i="9"/>
  <c r="D27" i="9"/>
  <c r="D26" i="9"/>
  <c r="D25" i="9"/>
  <c r="D24" i="9"/>
  <c r="D23" i="9"/>
  <c r="D22" i="9"/>
  <c r="D78" i="9"/>
  <c r="D77" i="9"/>
  <c r="D76" i="9"/>
  <c r="D75" i="9"/>
  <c r="D59" i="9"/>
  <c r="D58" i="9"/>
  <c r="D57" i="9"/>
  <c r="D56" i="9"/>
  <c r="D55" i="9"/>
  <c r="D54" i="9"/>
  <c r="D53" i="9"/>
  <c r="D52" i="9"/>
  <c r="D51" i="9"/>
  <c r="D50" i="9"/>
  <c r="D49" i="9"/>
  <c r="D48" i="9"/>
  <c r="D16" i="9"/>
  <c r="D15" i="9"/>
  <c r="D14" i="9"/>
  <c r="D13" i="9"/>
  <c r="D90" i="9" l="1"/>
  <c r="D12" i="9" l="1"/>
  <c r="D8" i="9"/>
  <c r="D7" i="9"/>
  <c r="D11" i="9"/>
  <c r="D10" i="9"/>
  <c r="D9" i="9"/>
  <c r="D127" i="9"/>
  <c r="D126" i="9"/>
  <c r="D125" i="9"/>
  <c r="D124" i="9"/>
  <c r="D123" i="9"/>
  <c r="D122" i="9"/>
  <c r="D121" i="9"/>
  <c r="D120" i="9"/>
  <c r="D119" i="9"/>
  <c r="D118" i="9"/>
  <c r="D117" i="9"/>
  <c r="D116" i="9"/>
  <c r="D115" i="9"/>
  <c r="D101" i="9"/>
  <c r="D111" i="9"/>
  <c r="D99" i="9"/>
  <c r="D100" i="9"/>
  <c r="D98" i="9"/>
  <c r="D97" i="9"/>
  <c r="D93" i="9"/>
  <c r="D92" i="9"/>
  <c r="D79" i="9"/>
  <c r="D110" i="9"/>
  <c r="D96" i="9"/>
  <c r="D109" i="9"/>
  <c r="D108" i="9"/>
  <c r="D107" i="9"/>
  <c r="D80" i="9"/>
  <c r="D82" i="9"/>
  <c r="D113" i="9"/>
  <c r="D95" i="9"/>
  <c r="D72" i="9"/>
  <c r="D94" i="9"/>
  <c r="D114" i="9"/>
  <c r="D91" i="9"/>
  <c r="D89" i="9"/>
  <c r="D88" i="9"/>
  <c r="D87" i="9"/>
  <c r="C73" i="9" l="1"/>
  <c r="D73" i="9"/>
  <c r="D71" i="9"/>
  <c r="C71" i="9"/>
  <c r="D70" i="9"/>
  <c r="C70" i="9"/>
  <c r="D69" i="9"/>
  <c r="C69" i="9"/>
  <c r="C61" i="9"/>
  <c r="AG86" i="9"/>
  <c r="AF86" i="9"/>
  <c r="AG85" i="9"/>
  <c r="AF85" i="9"/>
  <c r="AG112" i="9"/>
  <c r="AF112" i="9"/>
  <c r="AG84" i="9"/>
  <c r="AF84" i="9"/>
  <c r="AG83" i="9"/>
  <c r="AF83" i="9"/>
  <c r="AG33" i="9"/>
  <c r="AF33" i="9"/>
  <c r="AB86" i="9"/>
  <c r="AA86" i="9"/>
  <c r="AB85" i="9"/>
  <c r="AA85" i="9"/>
  <c r="AB112" i="9"/>
  <c r="AA112" i="9"/>
  <c r="AB84" i="9"/>
  <c r="AA84" i="9"/>
  <c r="AB83" i="9"/>
  <c r="AA83" i="9"/>
  <c r="AB33" i="9"/>
  <c r="AA33" i="9"/>
  <c r="D86" i="9"/>
  <c r="C86" i="9"/>
  <c r="D85" i="9"/>
  <c r="C85" i="9"/>
  <c r="D112" i="9"/>
  <c r="C112" i="9"/>
  <c r="D84" i="9"/>
  <c r="C84" i="9"/>
  <c r="D83" i="9"/>
  <c r="C83" i="9"/>
  <c r="D33" i="9"/>
  <c r="C33" i="9"/>
  <c r="D61" i="9"/>
  <c r="D38" i="9" l="1"/>
  <c r="X69" i="9" l="1"/>
  <c r="X70" i="9"/>
  <c r="X71" i="9"/>
  <c r="X73" i="9"/>
  <c r="X61" i="9"/>
  <c r="D21" i="9" l="1"/>
  <c r="D36" i="9"/>
  <c r="D37" i="9"/>
  <c r="D62" i="9"/>
  <c r="D63" i="9"/>
  <c r="D30" i="9"/>
  <c r="D64" i="9"/>
  <c r="D39" i="9"/>
  <c r="D40" i="9"/>
  <c r="D41" i="9"/>
  <c r="D42" i="9"/>
  <c r="D65" i="9"/>
  <c r="D68" i="9"/>
  <c r="D66" i="9"/>
  <c r="D43" i="9"/>
  <c r="D67" i="9"/>
  <c r="D44" i="9"/>
  <c r="D31" i="9"/>
  <c r="D60" i="9"/>
  <c r="D45" i="9"/>
  <c r="D46" i="9"/>
  <c r="D32" i="9"/>
  <c r="D47" i="9"/>
  <c r="Y73" i="9" l="1"/>
  <c r="Y71" i="9"/>
  <c r="Y70" i="9"/>
  <c r="Y69" i="9"/>
  <c r="Y61" i="9"/>
  <c r="Z73" i="9" l="1"/>
  <c r="AG73" i="9" s="1"/>
  <c r="Z71" i="9"/>
  <c r="AG71" i="9" s="1"/>
  <c r="Z70" i="9"/>
  <c r="AG70" i="9" s="1"/>
  <c r="Z69" i="9"/>
  <c r="AG69" i="9" s="1"/>
  <c r="Z61" i="9"/>
  <c r="AG61" i="9" s="1"/>
  <c r="W73" i="9"/>
  <c r="W71" i="9"/>
  <c r="AF71" i="9" s="1"/>
  <c r="W69" i="9"/>
  <c r="W70" i="9"/>
  <c r="AF70" i="9" s="1"/>
  <c r="W61" i="9"/>
  <c r="R4" i="10"/>
  <c r="S4" i="10"/>
  <c r="T4" i="10"/>
  <c r="U4" i="10"/>
  <c r="R5" i="10"/>
  <c r="S5" i="10"/>
  <c r="T5" i="10"/>
  <c r="U5" i="10"/>
  <c r="R6" i="10"/>
  <c r="S6" i="10"/>
  <c r="T6" i="10"/>
  <c r="U6" i="10"/>
  <c r="R7" i="10"/>
  <c r="S7" i="10"/>
  <c r="T7" i="10"/>
  <c r="U7" i="10"/>
  <c r="R8" i="10"/>
  <c r="S8" i="10"/>
  <c r="T8" i="10"/>
  <c r="U8" i="10"/>
  <c r="R9" i="10"/>
  <c r="S9" i="10"/>
  <c r="T9" i="10"/>
  <c r="U9" i="10"/>
  <c r="R10" i="10"/>
  <c r="S10" i="10"/>
  <c r="T10" i="10"/>
  <c r="U10" i="10"/>
  <c r="R11" i="10"/>
  <c r="S11" i="10"/>
  <c r="T11" i="10"/>
  <c r="U11" i="10"/>
  <c r="R12" i="10"/>
  <c r="S12" i="10"/>
  <c r="T12" i="10"/>
  <c r="U12" i="10"/>
  <c r="R13" i="10"/>
  <c r="S13" i="10"/>
  <c r="T13" i="10"/>
  <c r="U13" i="10"/>
  <c r="R14" i="10"/>
  <c r="S14" i="10"/>
  <c r="T14" i="10"/>
  <c r="U14" i="10"/>
  <c r="R15" i="10"/>
  <c r="S15" i="10"/>
  <c r="T15" i="10"/>
  <c r="U15" i="10"/>
  <c r="R16" i="10"/>
  <c r="S16" i="10"/>
  <c r="T16" i="10"/>
  <c r="U16" i="10"/>
  <c r="R17" i="10"/>
  <c r="S17" i="10"/>
  <c r="T17" i="10"/>
  <c r="U17" i="10"/>
  <c r="R18" i="10"/>
  <c r="S18" i="10"/>
  <c r="T18" i="10"/>
  <c r="U18" i="10"/>
  <c r="R19" i="10"/>
  <c r="S19" i="10"/>
  <c r="T19" i="10"/>
  <c r="U19" i="10"/>
  <c r="R20" i="10"/>
  <c r="S20" i="10"/>
  <c r="T20" i="10"/>
  <c r="U20" i="10"/>
  <c r="R21" i="10"/>
  <c r="S21" i="10"/>
  <c r="T21" i="10"/>
  <c r="U21" i="10"/>
  <c r="R22" i="10"/>
  <c r="S22" i="10"/>
  <c r="T22" i="10"/>
  <c r="U22" i="10"/>
  <c r="R23" i="10"/>
  <c r="S23" i="10"/>
  <c r="T23" i="10"/>
  <c r="U23" i="10"/>
  <c r="R24" i="10"/>
  <c r="S24" i="10"/>
  <c r="T24" i="10"/>
  <c r="U24" i="10"/>
  <c r="R25" i="10"/>
  <c r="S25" i="10"/>
  <c r="T25" i="10"/>
  <c r="U25" i="10"/>
  <c r="R26" i="10"/>
  <c r="S26" i="10"/>
  <c r="T26" i="10"/>
  <c r="U26" i="10"/>
  <c r="R27" i="10"/>
  <c r="S27" i="10"/>
  <c r="T27" i="10"/>
  <c r="U27" i="10"/>
  <c r="R28" i="10"/>
  <c r="S28" i="10"/>
  <c r="T28" i="10"/>
  <c r="U28" i="10"/>
  <c r="R29" i="10"/>
  <c r="S29" i="10"/>
  <c r="T29" i="10"/>
  <c r="U29" i="10"/>
  <c r="R30" i="10"/>
  <c r="S30" i="10"/>
  <c r="T30" i="10"/>
  <c r="U30"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AB69" i="9" l="1"/>
  <c r="AA69" i="9"/>
  <c r="AB71" i="9"/>
  <c r="AA71" i="9"/>
  <c r="AB73" i="9"/>
  <c r="AA73" i="9"/>
  <c r="AF69" i="9"/>
  <c r="AB70" i="9"/>
  <c r="AA70" i="9"/>
  <c r="AF73" i="9"/>
  <c r="AB61" i="9"/>
  <c r="AA61" i="9"/>
  <c r="AF61" i="9"/>
  <c r="B23" i="14"/>
  <c r="B24" i="14"/>
  <c r="B25" i="14"/>
  <c r="I34" i="17"/>
  <c r="C4" i="15"/>
  <c r="B43" i="14"/>
  <c r="B44" i="14"/>
  <c r="B45" i="14"/>
  <c r="B46" i="14"/>
  <c r="B42" i="14"/>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4" i="10"/>
  <c r="AE4" i="10" s="1"/>
  <c r="C17" i="10"/>
  <c r="C18" i="10"/>
  <c r="C19" i="10"/>
  <c r="C20" i="10"/>
  <c r="C21" i="10"/>
  <c r="C22" i="10"/>
  <c r="C23" i="10"/>
  <c r="C24" i="10"/>
  <c r="C25" i="10"/>
  <c r="C26" i="10"/>
  <c r="C27" i="10"/>
  <c r="C28" i="10"/>
  <c r="C29" i="10"/>
  <c r="C30" i="10"/>
  <c r="AE26" i="10" l="1"/>
  <c r="W26" i="10" s="1"/>
  <c r="AE22" i="10"/>
  <c r="W22" i="10" s="1"/>
  <c r="AE14" i="10"/>
  <c r="W14" i="10" s="1"/>
  <c r="AE10" i="10"/>
  <c r="W10" i="10" s="1"/>
  <c r="AE6" i="10"/>
  <c r="W6" i="10" s="1"/>
  <c r="AE29" i="10"/>
  <c r="W29" i="10" s="1"/>
  <c r="AE21" i="10"/>
  <c r="W21" i="10" s="1"/>
  <c r="AE17" i="10"/>
  <c r="W17" i="10" s="1"/>
  <c r="AE13" i="10"/>
  <c r="W13" i="10" s="1"/>
  <c r="AE9" i="10"/>
  <c r="W9" i="10" s="1"/>
  <c r="AE5" i="10"/>
  <c r="W5" i="10" s="1"/>
  <c r="AE28" i="10"/>
  <c r="W28" i="10" s="1"/>
  <c r="AE24" i="10"/>
  <c r="W24" i="10" s="1"/>
  <c r="AE20" i="10"/>
  <c r="W20" i="10" s="1"/>
  <c r="AE16" i="10"/>
  <c r="W16" i="10" s="1"/>
  <c r="AE12" i="10"/>
  <c r="W12" i="10" s="1"/>
  <c r="AE8" i="10"/>
  <c r="W8" i="10" s="1"/>
  <c r="AE30" i="10"/>
  <c r="W30" i="10" s="1"/>
  <c r="AE18" i="10"/>
  <c r="W18" i="10" s="1"/>
  <c r="AE25" i="10"/>
  <c r="W25" i="10" s="1"/>
  <c r="AE27" i="10"/>
  <c r="W27" i="10" s="1"/>
  <c r="AE23" i="10"/>
  <c r="W23" i="10" s="1"/>
  <c r="AE19" i="10"/>
  <c r="W19" i="10" s="1"/>
  <c r="AE15" i="10"/>
  <c r="W15" i="10" s="1"/>
  <c r="AE11" i="10"/>
  <c r="W11" i="10" s="1"/>
  <c r="AE7" i="10"/>
  <c r="W7" i="10" s="1"/>
  <c r="D43" i="14"/>
  <c r="E44" i="14"/>
  <c r="E43" i="14"/>
  <c r="D42" i="14"/>
  <c r="D45" i="14"/>
  <c r="E46" i="14"/>
  <c r="D44" i="14"/>
  <c r="E45" i="14"/>
  <c r="C42" i="14"/>
  <c r="D46" i="14"/>
  <c r="E42" i="14"/>
  <c r="V18" i="10" l="1"/>
  <c r="V24" i="10"/>
  <c r="V30" i="10"/>
  <c r="V16" i="10"/>
  <c r="V6" i="10"/>
  <c r="V14" i="10"/>
  <c r="V26" i="10"/>
  <c r="V10" i="10"/>
  <c r="V22" i="10"/>
  <c r="V7" i="10"/>
  <c r="V15" i="10"/>
  <c r="V23" i="10"/>
  <c r="V25" i="10"/>
  <c r="V12" i="10"/>
  <c r="V20" i="10"/>
  <c r="V28" i="10"/>
  <c r="V9" i="10"/>
  <c r="V17" i="10"/>
  <c r="V29" i="10"/>
  <c r="V11" i="10"/>
  <c r="V19" i="10"/>
  <c r="V27" i="10"/>
  <c r="V8" i="10"/>
  <c r="V5" i="10"/>
  <c r="V13" i="10"/>
  <c r="V21" i="10"/>
  <c r="L33" i="10"/>
  <c r="K32" i="10"/>
  <c r="L34" i="10"/>
  <c r="K33" i="10"/>
  <c r="L35" i="10"/>
  <c r="K34" i="10"/>
  <c r="L32" i="10"/>
  <c r="K35" i="10"/>
  <c r="R34" i="10"/>
  <c r="U34" i="10"/>
  <c r="Q34" i="10"/>
  <c r="T34" i="10"/>
  <c r="S34" i="10"/>
  <c r="A3" i="19" l="1"/>
  <c r="A4" i="19"/>
  <c r="A13" i="19" s="1"/>
  <c r="A5" i="19"/>
  <c r="A14" i="19" s="1"/>
  <c r="A6" i="19"/>
  <c r="A15" i="19" s="1"/>
  <c r="A7" i="19"/>
  <c r="A16" i="19" s="1"/>
  <c r="B2" i="19"/>
  <c r="C2" i="19"/>
  <c r="D2" i="19"/>
  <c r="E2" i="19"/>
  <c r="A2" i="19"/>
  <c r="A10" i="19" s="1"/>
  <c r="A12" i="19"/>
  <c r="F1" i="17" l="1"/>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1" i="17"/>
  <c r="A2" i="17"/>
  <c r="C2" i="17"/>
  <c r="D2" i="17"/>
  <c r="A3" i="17"/>
  <c r="C3" i="17"/>
  <c r="D3" i="17"/>
  <c r="A4" i="17"/>
  <c r="C4" i="17"/>
  <c r="D4" i="17"/>
  <c r="A5" i="17"/>
  <c r="C5" i="17"/>
  <c r="D5" i="17"/>
  <c r="A6" i="17"/>
  <c r="C6" i="17"/>
  <c r="D6" i="17"/>
  <c r="A7" i="17"/>
  <c r="C7" i="17"/>
  <c r="D7" i="17"/>
  <c r="A8" i="17"/>
  <c r="C8" i="17"/>
  <c r="D8" i="17"/>
  <c r="A9" i="17"/>
  <c r="C9" i="17"/>
  <c r="D9" i="17"/>
  <c r="A10" i="17"/>
  <c r="C10" i="17"/>
  <c r="D10" i="17"/>
  <c r="A11" i="17"/>
  <c r="C11" i="17"/>
  <c r="D11" i="17"/>
  <c r="A12" i="17"/>
  <c r="C12" i="17"/>
  <c r="D12" i="17"/>
  <c r="A13" i="17"/>
  <c r="C13" i="17"/>
  <c r="D13" i="17"/>
  <c r="A14" i="17"/>
  <c r="C14" i="17"/>
  <c r="D14" i="17"/>
  <c r="A15" i="17"/>
  <c r="C15" i="17"/>
  <c r="D15" i="17"/>
  <c r="A16" i="17"/>
  <c r="C16" i="17"/>
  <c r="D16" i="17"/>
  <c r="A17" i="17"/>
  <c r="C17" i="17"/>
  <c r="D17" i="17"/>
  <c r="A18" i="17"/>
  <c r="C18" i="17"/>
  <c r="D18" i="17"/>
  <c r="A19" i="17"/>
  <c r="C19" i="17"/>
  <c r="D19" i="17"/>
  <c r="A20" i="17"/>
  <c r="C20" i="17"/>
  <c r="D20" i="17"/>
  <c r="A21" i="17"/>
  <c r="C21" i="17"/>
  <c r="D21" i="17"/>
  <c r="A22" i="17"/>
  <c r="C22" i="17"/>
  <c r="D22" i="17"/>
  <c r="A23" i="17"/>
  <c r="C23" i="17"/>
  <c r="D23" i="17"/>
  <c r="A24" i="17"/>
  <c r="C24" i="17"/>
  <c r="D24" i="17"/>
  <c r="A25" i="17"/>
  <c r="C25" i="17"/>
  <c r="D25" i="17"/>
  <c r="A26" i="17"/>
  <c r="C26" i="17"/>
  <c r="D26" i="17"/>
  <c r="A27" i="17"/>
  <c r="C27" i="17"/>
  <c r="D27" i="17"/>
  <c r="A28" i="17"/>
  <c r="C28" i="17"/>
  <c r="D28" i="17"/>
  <c r="B1" i="17"/>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4" i="10"/>
  <c r="B6" i="17"/>
  <c r="B7" i="17"/>
  <c r="B8" i="17"/>
  <c r="B9" i="17"/>
  <c r="B10" i="17"/>
  <c r="B11" i="17"/>
  <c r="B12" i="17"/>
  <c r="B13" i="17"/>
  <c r="B14" i="17"/>
  <c r="B15" i="17"/>
  <c r="B16" i="17"/>
  <c r="B18" i="17"/>
  <c r="B17" i="17"/>
  <c r="B19" i="17"/>
  <c r="B20" i="17"/>
  <c r="B21" i="17"/>
  <c r="B23" i="17"/>
  <c r="B24" i="17"/>
  <c r="B25" i="17"/>
  <c r="B26" i="17"/>
  <c r="B27" i="17"/>
  <c r="B28" i="17"/>
  <c r="W65" i="9"/>
  <c r="X65" i="9" s="1"/>
  <c r="Y65" i="9"/>
  <c r="Z65" i="9" s="1"/>
  <c r="B5" i="17" l="1"/>
  <c r="B22" i="17"/>
  <c r="C16" i="10"/>
  <c r="C14" i="10"/>
  <c r="C15" i="10"/>
  <c r="C13" i="10"/>
  <c r="B4" i="17"/>
  <c r="C12" i="10"/>
  <c r="C11" i="10"/>
  <c r="C9" i="10"/>
  <c r="C10" i="10"/>
  <c r="C8" i="10"/>
  <c r="C5" i="10"/>
  <c r="C4" i="10"/>
  <c r="C6" i="10"/>
  <c r="C7" i="10"/>
  <c r="AB65" i="9"/>
  <c r="AA65" i="9"/>
  <c r="AF65" i="9"/>
  <c r="C1" i="17"/>
  <c r="D1" i="17"/>
  <c r="G1" i="17"/>
  <c r="H1" i="17"/>
  <c r="A1" i="17"/>
  <c r="H17" i="17" l="1"/>
  <c r="G17" i="17"/>
  <c r="K4" i="10" l="1"/>
  <c r="W21" i="9" l="1"/>
  <c r="X21" i="9" s="1"/>
  <c r="Y21" i="9"/>
  <c r="W34" i="9"/>
  <c r="X34" i="9" s="1"/>
  <c r="Y34" i="9"/>
  <c r="W38" i="9"/>
  <c r="X38" i="9" s="1"/>
  <c r="Y38" i="9"/>
  <c r="W6" i="9"/>
  <c r="Y6" i="9"/>
  <c r="W35" i="9"/>
  <c r="X35" i="9" s="1"/>
  <c r="Y35" i="9"/>
  <c r="W36" i="9"/>
  <c r="X36" i="9" s="1"/>
  <c r="Y36" i="9"/>
  <c r="W37" i="9"/>
  <c r="X37" i="9" s="1"/>
  <c r="Y37" i="9"/>
  <c r="W62" i="9"/>
  <c r="X62" i="9" s="1"/>
  <c r="Y62" i="9"/>
  <c r="W63" i="9"/>
  <c r="X63" i="9" s="1"/>
  <c r="Y63" i="9"/>
  <c r="W30" i="9"/>
  <c r="X30" i="9" s="1"/>
  <c r="Y30" i="9"/>
  <c r="W64" i="9"/>
  <c r="X64" i="9" s="1"/>
  <c r="Y64" i="9"/>
  <c r="W39" i="9"/>
  <c r="X39" i="9" s="1"/>
  <c r="Y39" i="9"/>
  <c r="W40" i="9"/>
  <c r="X40" i="9" s="1"/>
  <c r="Y40" i="9"/>
  <c r="W41" i="9"/>
  <c r="X41" i="9" s="1"/>
  <c r="Y41" i="9"/>
  <c r="W42" i="9"/>
  <c r="X42" i="9" s="1"/>
  <c r="Y42" i="9"/>
  <c r="W68" i="9"/>
  <c r="X68" i="9" s="1"/>
  <c r="Y68" i="9"/>
  <c r="W66" i="9"/>
  <c r="X66" i="9" s="1"/>
  <c r="Y66" i="9"/>
  <c r="W43" i="9"/>
  <c r="X43" i="9" s="1"/>
  <c r="Y43" i="9"/>
  <c r="W67" i="9"/>
  <c r="X67" i="9" s="1"/>
  <c r="Y67" i="9"/>
  <c r="W44" i="9"/>
  <c r="X44" i="9" s="1"/>
  <c r="Y44" i="9"/>
  <c r="W31" i="9"/>
  <c r="X31" i="9" s="1"/>
  <c r="Y31" i="9"/>
  <c r="W60" i="9"/>
  <c r="X60" i="9" s="1"/>
  <c r="Y60" i="9"/>
  <c r="W45" i="9"/>
  <c r="X45" i="9" s="1"/>
  <c r="Y45" i="9"/>
  <c r="W46" i="9"/>
  <c r="X46" i="9" s="1"/>
  <c r="Y46" i="9"/>
  <c r="W32" i="9"/>
  <c r="X32" i="9" s="1"/>
  <c r="Y32" i="9"/>
  <c r="W47" i="9"/>
  <c r="X47" i="9" s="1"/>
  <c r="Y47" i="9"/>
  <c r="X6" i="9" l="1"/>
  <c r="AC6" i="9"/>
  <c r="B22" i="14"/>
  <c r="B4" i="19" s="1"/>
  <c r="B21" i="14"/>
  <c r="B3" i="19" s="1"/>
  <c r="B12" i="19" s="1"/>
  <c r="AF31" i="9"/>
  <c r="Z47" i="9"/>
  <c r="Z60" i="9"/>
  <c r="Z43" i="9"/>
  <c r="Z68" i="9"/>
  <c r="Z42" i="9"/>
  <c r="Z40" i="9"/>
  <c r="Z64" i="9"/>
  <c r="Z63" i="9"/>
  <c r="Z37" i="9"/>
  <c r="Z38" i="9"/>
  <c r="Z21" i="9"/>
  <c r="B5" i="19"/>
  <c r="Z32" i="9"/>
  <c r="Z45" i="9"/>
  <c r="Z31" i="9"/>
  <c r="Z67" i="9"/>
  <c r="Z66" i="9"/>
  <c r="Z41" i="9"/>
  <c r="Z39" i="9"/>
  <c r="Z30" i="9"/>
  <c r="Z62" i="9"/>
  <c r="Z36" i="9"/>
  <c r="Z6" i="9"/>
  <c r="Z34" i="9"/>
  <c r="B7" i="19"/>
  <c r="B6" i="19"/>
  <c r="AF35" i="9"/>
  <c r="AF68" i="9"/>
  <c r="AF44" i="9"/>
  <c r="AF37" i="9"/>
  <c r="AF36" i="9"/>
  <c r="AF47" i="9"/>
  <c r="AF32" i="9"/>
  <c r="AF60" i="9"/>
  <c r="AF38" i="9"/>
  <c r="AF34" i="9"/>
  <c r="AF39" i="9"/>
  <c r="AF30" i="9"/>
  <c r="AF63" i="9"/>
  <c r="Z35" i="9"/>
  <c r="Z44" i="9"/>
  <c r="AF67" i="9"/>
  <c r="AF66" i="9"/>
  <c r="AF46" i="9"/>
  <c r="AF64" i="9"/>
  <c r="AF62" i="9"/>
  <c r="AF6" i="9"/>
  <c r="AF41" i="9"/>
  <c r="AF40" i="9"/>
  <c r="AF45" i="9"/>
  <c r="Z46" i="9"/>
  <c r="AF43" i="9"/>
  <c r="AF42" i="9"/>
  <c r="AF21" i="9"/>
  <c r="AD38" i="9" l="1"/>
  <c r="AD36" i="9"/>
  <c r="AD30" i="9"/>
  <c r="AD41" i="9"/>
  <c r="AD66" i="9"/>
  <c r="AD31" i="9"/>
  <c r="AD32" i="9"/>
  <c r="AD37" i="9"/>
  <c r="AD64" i="9"/>
  <c r="AD42" i="9"/>
  <c r="AD60" i="9"/>
  <c r="AD34" i="9"/>
  <c r="AD39" i="9"/>
  <c r="AD67" i="9"/>
  <c r="AD6" i="9"/>
  <c r="AD63" i="9"/>
  <c r="AD68" i="9"/>
  <c r="AD46" i="9"/>
  <c r="AD21" i="9"/>
  <c r="AD43" i="9"/>
  <c r="AD47" i="9"/>
  <c r="AD62" i="9"/>
  <c r="AD65" i="9"/>
  <c r="AD45" i="9"/>
  <c r="AD35" i="9"/>
  <c r="AD40" i="9"/>
  <c r="AD44" i="9"/>
  <c r="B13" i="19"/>
  <c r="B14" i="19" s="1"/>
  <c r="B15" i="19" s="1"/>
  <c r="E22" i="14"/>
  <c r="D23" i="14"/>
  <c r="C24" i="14"/>
  <c r="D21" i="14"/>
  <c r="D25" i="14"/>
  <c r="D24" i="14"/>
  <c r="E21" i="14"/>
  <c r="D22" i="14"/>
  <c r="C21" i="14"/>
  <c r="C25" i="14"/>
  <c r="C23" i="14"/>
  <c r="C22" i="14"/>
  <c r="E25" i="14"/>
  <c r="E24" i="14"/>
  <c r="E23" i="14"/>
  <c r="I32" i="17"/>
  <c r="I30" i="17"/>
  <c r="I29" i="17"/>
  <c r="AG46" i="9"/>
  <c r="AG41" i="9"/>
  <c r="AG47" i="9"/>
  <c r="AB36" i="9"/>
  <c r="H7" i="17" s="1"/>
  <c r="AG36" i="9"/>
  <c r="AG45" i="9"/>
  <c r="AG38" i="9"/>
  <c r="AG40" i="9"/>
  <c r="AG44" i="9"/>
  <c r="AG62" i="9"/>
  <c r="AG66" i="9"/>
  <c r="AA32" i="9"/>
  <c r="G27" i="17" s="1"/>
  <c r="AG32" i="9"/>
  <c r="AG37" i="9"/>
  <c r="AG42" i="9"/>
  <c r="AG34" i="9"/>
  <c r="AA67" i="9"/>
  <c r="G21" i="17" s="1"/>
  <c r="AG67" i="9"/>
  <c r="AG35" i="9"/>
  <c r="AG6" i="9"/>
  <c r="AG39" i="9"/>
  <c r="AG31" i="9"/>
  <c r="AG21" i="9"/>
  <c r="AB64" i="9"/>
  <c r="H12" i="17" s="1"/>
  <c r="AG64" i="9"/>
  <c r="AG65" i="9"/>
  <c r="AG43" i="9"/>
  <c r="AG60" i="9"/>
  <c r="AG30" i="9"/>
  <c r="AG63" i="9"/>
  <c r="AG68" i="9"/>
  <c r="AB67" i="9"/>
  <c r="H21" i="17" s="1"/>
  <c r="AB32" i="9"/>
  <c r="H27" i="17" s="1"/>
  <c r="AA62" i="9"/>
  <c r="G9" i="17" s="1"/>
  <c r="AA41" i="9"/>
  <c r="G15" i="17" s="1"/>
  <c r="AB66" i="9"/>
  <c r="H19" i="17" s="1"/>
  <c r="AB68" i="9"/>
  <c r="H18" i="17" s="1"/>
  <c r="AB37" i="9"/>
  <c r="H8" i="17" s="1"/>
  <c r="AA64" i="9"/>
  <c r="G12" i="17" s="1"/>
  <c r="AA37" i="9"/>
  <c r="G8" i="17" s="1"/>
  <c r="AA63" i="9"/>
  <c r="G10" i="17" s="1"/>
  <c r="AA68" i="9"/>
  <c r="G18" i="17" s="1"/>
  <c r="AA60" i="9"/>
  <c r="G24" i="17" s="1"/>
  <c r="AB63" i="9"/>
  <c r="H10" i="17" s="1"/>
  <c r="AB43" i="9"/>
  <c r="H20" i="17" s="1"/>
  <c r="AA21" i="9"/>
  <c r="AA43" i="9"/>
  <c r="G20" i="17" s="1"/>
  <c r="AB21" i="9"/>
  <c r="AB42" i="9"/>
  <c r="H16" i="17" s="1"/>
  <c r="AA42" i="9"/>
  <c r="G16" i="17" s="1"/>
  <c r="AA47" i="9"/>
  <c r="G28" i="17" s="1"/>
  <c r="AB47" i="9"/>
  <c r="H28" i="17" s="1"/>
  <c r="AB45" i="9"/>
  <c r="H25" i="17" s="1"/>
  <c r="AA6" i="9"/>
  <c r="AB39" i="9"/>
  <c r="H13" i="17" s="1"/>
  <c r="AB62" i="9"/>
  <c r="H9" i="17" s="1"/>
  <c r="AA66" i="9"/>
  <c r="G19" i="17" s="1"/>
  <c r="AB30" i="9"/>
  <c r="H11" i="17" s="1"/>
  <c r="AA36" i="9"/>
  <c r="G7" i="17" s="1"/>
  <c r="AB6" i="9"/>
  <c r="AA45" i="9"/>
  <c r="G25" i="17" s="1"/>
  <c r="AA39" i="9"/>
  <c r="G13" i="17" s="1"/>
  <c r="AA44" i="9"/>
  <c r="G22" i="17" s="1"/>
  <c r="AB38" i="9"/>
  <c r="AB40" i="9"/>
  <c r="H14" i="17" s="1"/>
  <c r="AB60" i="9"/>
  <c r="H24" i="17" s="1"/>
  <c r="AB34" i="9"/>
  <c r="AB31" i="9"/>
  <c r="H23" i="17" s="1"/>
  <c r="AA46" i="9"/>
  <c r="G26" i="17" s="1"/>
  <c r="AB41" i="9"/>
  <c r="H15" i="17" s="1"/>
  <c r="AA34" i="9"/>
  <c r="AA30" i="9"/>
  <c r="G11" i="17" s="1"/>
  <c r="AA31" i="9"/>
  <c r="G23" i="17" s="1"/>
  <c r="AA40" i="9"/>
  <c r="G14" i="17" s="1"/>
  <c r="AA35" i="9"/>
  <c r="G6" i="17" s="1"/>
  <c r="AA38" i="9"/>
  <c r="AB35" i="9"/>
  <c r="H6" i="17" s="1"/>
  <c r="AB46" i="9"/>
  <c r="H26" i="17" s="1"/>
  <c r="AB44" i="9"/>
  <c r="H22" i="17" s="1"/>
  <c r="C43" i="14"/>
  <c r="C44" i="14"/>
  <c r="C45" i="14"/>
  <c r="C46" i="14"/>
  <c r="B7" i="15"/>
  <c r="G3" i="17" l="1"/>
  <c r="H3" i="17"/>
  <c r="G5" i="17"/>
  <c r="H5" i="17"/>
  <c r="H30" i="17"/>
  <c r="G2" i="17"/>
  <c r="G4" i="17"/>
  <c r="H4" i="17"/>
  <c r="G31" i="17"/>
  <c r="B16" i="19"/>
  <c r="G29" i="17"/>
  <c r="G33" i="17"/>
  <c r="H33" i="17"/>
  <c r="C11" i="19"/>
  <c r="C12" i="19" s="1"/>
  <c r="C13" i="19" s="1"/>
  <c r="C14" i="19" s="1"/>
  <c r="C15" i="19" s="1"/>
  <c r="H2" i="17"/>
  <c r="V34" i="10"/>
  <c r="L30" i="10"/>
  <c r="M30" i="10" s="1"/>
  <c r="K30" i="10"/>
  <c r="L29" i="10"/>
  <c r="M29" i="10" s="1"/>
  <c r="K29" i="10"/>
  <c r="P29" i="10" s="1"/>
  <c r="L28" i="10"/>
  <c r="M28" i="10" s="1"/>
  <c r="K28" i="10"/>
  <c r="L27" i="10"/>
  <c r="M27" i="10" s="1"/>
  <c r="K27" i="10"/>
  <c r="P27" i="10" s="1"/>
  <c r="L26" i="10"/>
  <c r="M26" i="10" s="1"/>
  <c r="K26" i="10"/>
  <c r="P26" i="10" s="1"/>
  <c r="L25" i="10"/>
  <c r="M25" i="10" s="1"/>
  <c r="K25" i="10"/>
  <c r="P25" i="10" s="1"/>
  <c r="X24" i="10"/>
  <c r="L24" i="10"/>
  <c r="M24" i="10" s="1"/>
  <c r="K24" i="10"/>
  <c r="P24" i="10" s="1"/>
  <c r="L23" i="10"/>
  <c r="M23" i="10" s="1"/>
  <c r="K23" i="10"/>
  <c r="L22" i="10"/>
  <c r="M22" i="10" s="1"/>
  <c r="K22" i="10"/>
  <c r="L21" i="10"/>
  <c r="M21" i="10" s="1"/>
  <c r="K21" i="10"/>
  <c r="P21" i="10" s="1"/>
  <c r="L20" i="10"/>
  <c r="M20" i="10" s="1"/>
  <c r="K20" i="10"/>
  <c r="L19" i="10"/>
  <c r="M19" i="10" s="1"/>
  <c r="K19" i="10"/>
  <c r="L18" i="10"/>
  <c r="M18" i="10" s="1"/>
  <c r="K18" i="10"/>
  <c r="P18" i="10" s="1"/>
  <c r="L17" i="10"/>
  <c r="M17" i="10" s="1"/>
  <c r="K17" i="10"/>
  <c r="L16" i="10"/>
  <c r="M16" i="10" s="1"/>
  <c r="K16" i="10"/>
  <c r="P16" i="10" s="1"/>
  <c r="L15" i="10"/>
  <c r="M15" i="10" s="1"/>
  <c r="K15" i="10"/>
  <c r="P15" i="10" s="1"/>
  <c r="L14" i="10"/>
  <c r="M14" i="10" s="1"/>
  <c r="K14" i="10"/>
  <c r="P14" i="10" s="1"/>
  <c r="L13" i="10"/>
  <c r="M13" i="10" s="1"/>
  <c r="K13" i="10"/>
  <c r="L12" i="10"/>
  <c r="M12" i="10" s="1"/>
  <c r="K12" i="10"/>
  <c r="L11" i="10"/>
  <c r="M11" i="10" s="1"/>
  <c r="K11" i="10"/>
  <c r="L10" i="10"/>
  <c r="M10" i="10" s="1"/>
  <c r="K10" i="10"/>
  <c r="P10" i="10" s="1"/>
  <c r="L9" i="10"/>
  <c r="M9" i="10" s="1"/>
  <c r="K9" i="10"/>
  <c r="L8" i="10"/>
  <c r="M8" i="10" s="1"/>
  <c r="K8" i="10"/>
  <c r="P8" i="10" s="1"/>
  <c r="L7" i="10"/>
  <c r="M7" i="10" s="1"/>
  <c r="K7" i="10"/>
  <c r="P7" i="10" s="1"/>
  <c r="L6" i="10"/>
  <c r="M6" i="10" s="1"/>
  <c r="K6" i="10"/>
  <c r="P6" i="10" s="1"/>
  <c r="L5" i="10"/>
  <c r="M5" i="10" s="1"/>
  <c r="K5" i="10"/>
  <c r="L4" i="10"/>
  <c r="M4" i="10" s="1"/>
  <c r="G30" i="17" l="1"/>
  <c r="H31" i="17"/>
  <c r="H29" i="17"/>
  <c r="L31" i="10"/>
  <c r="P5" i="10"/>
  <c r="K31" i="10"/>
  <c r="H32" i="17"/>
  <c r="C16" i="19"/>
  <c r="AA24" i="10"/>
  <c r="AB24" i="10"/>
  <c r="AC24" i="10"/>
  <c r="Z24" i="10"/>
  <c r="N7" i="10"/>
  <c r="O16" i="10"/>
  <c r="N17" i="10"/>
  <c r="N19" i="10"/>
  <c r="O28" i="10"/>
  <c r="O4" i="10"/>
  <c r="O9" i="10"/>
  <c r="N15" i="10"/>
  <c r="O22" i="10"/>
  <c r="N27" i="10"/>
  <c r="O29" i="10"/>
  <c r="N18" i="10"/>
  <c r="N30" i="10"/>
  <c r="P4" i="10"/>
  <c r="N5" i="10"/>
  <c r="O6" i="10"/>
  <c r="P9" i="10"/>
  <c r="O11" i="10"/>
  <c r="P11" i="10"/>
  <c r="O20" i="10"/>
  <c r="O23" i="10"/>
  <c r="P23" i="10"/>
  <c r="N26" i="10"/>
  <c r="P28" i="10"/>
  <c r="O10" i="10"/>
  <c r="O19" i="10"/>
  <c r="P19" i="10"/>
  <c r="N21" i="10"/>
  <c r="N6" i="10"/>
  <c r="N11" i="10"/>
  <c r="O17" i="10"/>
  <c r="P17" i="10"/>
  <c r="S35" i="10" s="1"/>
  <c r="N23" i="10"/>
  <c r="O30" i="10"/>
  <c r="P30" i="10"/>
  <c r="N13" i="10"/>
  <c r="P13" i="10"/>
  <c r="O13" i="10"/>
  <c r="H33" i="10"/>
  <c r="I35" i="10"/>
  <c r="S33" i="10"/>
  <c r="H32" i="10"/>
  <c r="U35" i="10"/>
  <c r="V35" i="10" s="1"/>
  <c r="P33" i="10"/>
  <c r="U32" i="10"/>
  <c r="V32" i="10" s="1"/>
  <c r="I31" i="10"/>
  <c r="R35" i="10"/>
  <c r="P32" i="10"/>
  <c r="O5" i="10"/>
  <c r="P12" i="10"/>
  <c r="N12" i="10"/>
  <c r="X18" i="10"/>
  <c r="X17" i="10"/>
  <c r="O12" i="10"/>
  <c r="N4" i="10"/>
  <c r="N9" i="10"/>
  <c r="O15" i="10"/>
  <c r="N16" i="10"/>
  <c r="O7" i="10"/>
  <c r="O8" i="10"/>
  <c r="O14" i="10"/>
  <c r="P20" i="10"/>
  <c r="N20" i="10"/>
  <c r="N8" i="10"/>
  <c r="N10" i="10"/>
  <c r="N14" i="10"/>
  <c r="O18" i="10"/>
  <c r="O21" i="10"/>
  <c r="N22" i="10"/>
  <c r="P22" i="10"/>
  <c r="N24" i="10"/>
  <c r="O26" i="10"/>
  <c r="O27" i="10"/>
  <c r="N28" i="10"/>
  <c r="J32" i="10"/>
  <c r="Q32" i="10"/>
  <c r="T33" i="10"/>
  <c r="T35" i="10"/>
  <c r="P35" i="10"/>
  <c r="H35" i="10"/>
  <c r="J34" i="10"/>
  <c r="R33" i="10"/>
  <c r="I33" i="10"/>
  <c r="S32" i="10"/>
  <c r="H31" i="10"/>
  <c r="H34" i="10"/>
  <c r="U33" i="10"/>
  <c r="V33" i="10" s="1"/>
  <c r="Q33" i="10"/>
  <c r="J33" i="10"/>
  <c r="R32" i="10"/>
  <c r="I32" i="10"/>
  <c r="O24" i="10"/>
  <c r="Y24" i="10"/>
  <c r="O25" i="10"/>
  <c r="J31" i="10"/>
  <c r="T32" i="10"/>
  <c r="I34" i="10"/>
  <c r="J35" i="10"/>
  <c r="N25" i="10"/>
  <c r="N29" i="10"/>
  <c r="X16" i="10" l="1"/>
  <c r="AA16" i="10" s="1"/>
  <c r="Q4" i="10"/>
  <c r="X6" i="10" s="1"/>
  <c r="Z6" i="10" s="1"/>
  <c r="X5" i="10"/>
  <c r="AA5" i="10" s="1"/>
  <c r="X15" i="10"/>
  <c r="X11" i="10"/>
  <c r="Y11" i="10" s="1"/>
  <c r="AC11" i="10" s="1"/>
  <c r="G32" i="17"/>
  <c r="I31" i="17"/>
  <c r="AA18" i="10"/>
  <c r="AB18" i="10"/>
  <c r="AC18" i="10"/>
  <c r="Z18" i="10"/>
  <c r="AA17" i="10"/>
  <c r="AC17" i="10"/>
  <c r="Z17" i="10"/>
  <c r="AB17" i="10"/>
  <c r="Q35" i="10"/>
  <c r="M32" i="10"/>
  <c r="X30" i="10"/>
  <c r="X22" i="10"/>
  <c r="X28" i="10"/>
  <c r="X21" i="10"/>
  <c r="M33" i="10"/>
  <c r="X19" i="10"/>
  <c r="X25" i="10"/>
  <c r="M34" i="10"/>
  <c r="P34" i="10"/>
  <c r="X27" i="10"/>
  <c r="X23" i="10"/>
  <c r="X29" i="10"/>
  <c r="Y18" i="10"/>
  <c r="M35" i="10"/>
  <c r="X14" i="10"/>
  <c r="X13" i="10"/>
  <c r="X12" i="10"/>
  <c r="X9" i="10"/>
  <c r="X20" i="10"/>
  <c r="Y17" i="10"/>
  <c r="S31" i="10"/>
  <c r="F7" i="15" s="1"/>
  <c r="P31" i="10"/>
  <c r="C7" i="15" s="1"/>
  <c r="X10" i="10"/>
  <c r="X26" i="10"/>
  <c r="M31" i="10"/>
  <c r="Y16" i="10" l="1"/>
  <c r="AB16" i="10"/>
  <c r="AC16" i="10"/>
  <c r="Z16" i="10"/>
  <c r="W4" i="10"/>
  <c r="Y6" i="10"/>
  <c r="U31" i="10"/>
  <c r="H7" i="15" s="1"/>
  <c r="T31" i="10"/>
  <c r="G7" i="15" s="1"/>
  <c r="Q31" i="10"/>
  <c r="D7" i="15" s="1"/>
  <c r="V4" i="10"/>
  <c r="R31" i="10"/>
  <c r="E7" i="15" s="1"/>
  <c r="X7" i="10"/>
  <c r="Y7" i="10" s="1"/>
  <c r="X8" i="10"/>
  <c r="Y5" i="10"/>
  <c r="AB5" i="10"/>
  <c r="AC5" i="10"/>
  <c r="Z5" i="10"/>
  <c r="AA15" i="10"/>
  <c r="Z15" i="10"/>
  <c r="AB15" i="10"/>
  <c r="AC15" i="10"/>
  <c r="Y15" i="10"/>
  <c r="Z11" i="10"/>
  <c r="AA11" i="10" s="1"/>
  <c r="AB11" i="10"/>
  <c r="H34" i="17"/>
  <c r="I33" i="17"/>
  <c r="G34" i="17"/>
  <c r="AC6" i="10"/>
  <c r="AA20" i="10"/>
  <c r="AB20" i="10"/>
  <c r="AC20" i="10"/>
  <c r="Z20" i="10"/>
  <c r="AA29" i="10"/>
  <c r="AC29" i="10"/>
  <c r="AB29" i="10"/>
  <c r="Z29" i="10"/>
  <c r="AA30" i="10"/>
  <c r="Z30" i="10"/>
  <c r="AB30" i="10"/>
  <c r="AC30" i="10"/>
  <c r="AA26" i="10"/>
  <c r="AB26" i="10"/>
  <c r="AC26" i="10"/>
  <c r="Z26" i="10"/>
  <c r="AA13" i="10"/>
  <c r="Z13" i="10"/>
  <c r="AB13" i="10"/>
  <c r="AA23" i="10"/>
  <c r="AC23" i="10"/>
  <c r="Z23" i="10"/>
  <c r="AB23" i="10"/>
  <c r="AA19" i="10"/>
  <c r="AC19" i="10"/>
  <c r="Z19" i="10"/>
  <c r="AB19" i="10"/>
  <c r="AA21" i="10"/>
  <c r="AC21" i="10"/>
  <c r="Z21" i="10"/>
  <c r="AB21" i="10"/>
  <c r="Y22" i="10"/>
  <c r="AA22" i="10"/>
  <c r="AB22" i="10"/>
  <c r="AC22" i="10"/>
  <c r="Z22" i="10"/>
  <c r="AB6" i="10"/>
  <c r="AA12" i="10"/>
  <c r="AC12" i="10"/>
  <c r="AB12" i="10"/>
  <c r="Z12" i="10"/>
  <c r="AA25" i="10"/>
  <c r="AC25" i="10"/>
  <c r="Z25" i="10"/>
  <c r="AB25" i="10"/>
  <c r="AA28" i="10"/>
  <c r="Z28" i="10"/>
  <c r="AB28" i="10"/>
  <c r="AC28" i="10"/>
  <c r="AA10" i="10"/>
  <c r="AC10" i="10"/>
  <c r="Z10" i="10"/>
  <c r="AB10" i="10"/>
  <c r="Z9" i="10"/>
  <c r="AA9" i="10" s="1"/>
  <c r="AA14" i="10"/>
  <c r="AB14" i="10"/>
  <c r="AC14" i="10"/>
  <c r="Z14" i="10"/>
  <c r="AA27" i="10"/>
  <c r="AC27" i="10"/>
  <c r="AB27" i="10"/>
  <c r="Z27" i="10"/>
  <c r="AA6" i="10"/>
  <c r="C4" i="19"/>
  <c r="C7" i="19"/>
  <c r="C6" i="19"/>
  <c r="D6" i="19"/>
  <c r="E4" i="19"/>
  <c r="D3" i="19"/>
  <c r="D5" i="19"/>
  <c r="E7" i="19"/>
  <c r="E3" i="19"/>
  <c r="C3" i="19"/>
  <c r="E6" i="19"/>
  <c r="E5" i="19"/>
  <c r="D7" i="19"/>
  <c r="D4" i="19"/>
  <c r="C5" i="19"/>
  <c r="C8" i="15"/>
  <c r="Y28" i="10"/>
  <c r="Y30" i="10"/>
  <c r="Y21" i="10"/>
  <c r="Y12" i="10"/>
  <c r="Y29" i="10"/>
  <c r="Y10" i="10"/>
  <c r="Y13" i="10"/>
  <c r="AC13" i="10" s="1"/>
  <c r="Y9" i="10"/>
  <c r="Y14" i="10"/>
  <c r="Y27" i="10"/>
  <c r="O31" i="10"/>
  <c r="N31" i="10"/>
  <c r="Y25" i="10"/>
  <c r="Y26" i="10"/>
  <c r="Y20" i="10"/>
  <c r="O35" i="10"/>
  <c r="N35" i="10"/>
  <c r="O32" i="10"/>
  <c r="N32" i="10"/>
  <c r="Y23" i="10"/>
  <c r="O34" i="10"/>
  <c r="N34" i="10"/>
  <c r="N33" i="10"/>
  <c r="O33" i="10"/>
  <c r="Y19" i="10"/>
  <c r="V31" i="10" l="1"/>
  <c r="AB7" i="10"/>
  <c r="Z7" i="10"/>
  <c r="AA7" i="10"/>
  <c r="AC7" i="10"/>
  <c r="AC8" i="10"/>
  <c r="Y8" i="10"/>
  <c r="AB8" i="10"/>
  <c r="Z8" i="10"/>
  <c r="AA8" i="10"/>
  <c r="AB9" i="10"/>
  <c r="AC9" i="10"/>
  <c r="H8" i="15"/>
  <c r="D8" i="15"/>
  <c r="E8" i="15"/>
  <c r="G8" i="15"/>
  <c r="F8" i="15"/>
  <c r="B6" i="14" l="1"/>
  <c r="B5" i="14"/>
  <c r="X4" i="10" l="1"/>
  <c r="Y4" i="10" l="1"/>
  <c r="AH39" i="9"/>
  <c r="AJ39" i="9" s="1"/>
  <c r="AH32" i="9"/>
  <c r="AK32" i="9" s="1"/>
  <c r="AH45" i="9"/>
  <c r="AI45" i="9" s="1"/>
  <c r="AH38" i="9"/>
  <c r="AJ38" i="9" s="1"/>
  <c r="AH34" i="9"/>
  <c r="AK34" i="9" s="1"/>
  <c r="AH40" i="9"/>
  <c r="AK40" i="9" s="1"/>
  <c r="AH42" i="9"/>
  <c r="AK42" i="9" s="1"/>
  <c r="AH68" i="9"/>
  <c r="AI68" i="9" s="1"/>
  <c r="AH43" i="9"/>
  <c r="AK43" i="9" s="1"/>
  <c r="AH44" i="9"/>
  <c r="AK44" i="9" s="1"/>
  <c r="AH41" i="9"/>
  <c r="AK41" i="9" s="1"/>
  <c r="AH66" i="9"/>
  <c r="AI66" i="9" s="1"/>
  <c r="AH6" i="9"/>
  <c r="AH36" i="9"/>
  <c r="AH31" i="9"/>
  <c r="AH63" i="9"/>
  <c r="AH62" i="9"/>
  <c r="AH64" i="9"/>
  <c r="AH37" i="9"/>
  <c r="AH46" i="9"/>
  <c r="AH47" i="9"/>
  <c r="AH67" i="9"/>
  <c r="AH30" i="9"/>
  <c r="AH65" i="9"/>
  <c r="AH21" i="9"/>
  <c r="AA4" i="10"/>
  <c r="AB4" i="10"/>
  <c r="AH35" i="9"/>
  <c r="AC4" i="10"/>
  <c r="Z4" i="10"/>
  <c r="AH60" i="9"/>
  <c r="AK39" i="9" l="1"/>
  <c r="AJ34" i="9"/>
  <c r="AJ41" i="9"/>
  <c r="AI42" i="9"/>
  <c r="AJ68" i="9"/>
  <c r="AK45" i="9"/>
  <c r="AI44" i="9"/>
  <c r="AI32" i="9"/>
  <c r="AJ32" i="9"/>
  <c r="AJ43" i="9"/>
  <c r="AI40" i="9"/>
  <c r="AJ40" i="9"/>
  <c r="AJ44" i="9"/>
  <c r="AK38" i="9"/>
  <c r="AI41" i="9"/>
  <c r="AI38" i="9"/>
  <c r="AK66" i="9"/>
  <c r="AK68" i="9"/>
  <c r="AJ42" i="9"/>
  <c r="AI34" i="9"/>
  <c r="AI43" i="9"/>
  <c r="AJ45" i="9"/>
  <c r="AI39" i="9"/>
  <c r="AJ66" i="9"/>
  <c r="AI30" i="9"/>
  <c r="AJ30" i="9"/>
  <c r="AK30" i="9"/>
  <c r="AK31" i="9"/>
  <c r="AI31" i="9"/>
  <c r="AJ31" i="9"/>
  <c r="AK64" i="9"/>
  <c r="AI64" i="9"/>
  <c r="AJ64" i="9"/>
  <c r="AK21" i="9"/>
  <c r="AJ21" i="9"/>
  <c r="AI21" i="9"/>
  <c r="AI62" i="9"/>
  <c r="AJ62" i="9"/>
  <c r="AK62" i="9"/>
  <c r="AK6" i="9"/>
  <c r="AI6" i="9"/>
  <c r="AJ6" i="9"/>
  <c r="AI37" i="9"/>
  <c r="AK37" i="9"/>
  <c r="AJ37" i="9"/>
  <c r="AI67" i="9"/>
  <c r="AK67" i="9"/>
  <c r="AJ67" i="9"/>
  <c r="AJ36" i="9"/>
  <c r="AI36" i="9"/>
  <c r="AK36" i="9"/>
  <c r="AI60" i="9"/>
  <c r="AK60" i="9"/>
  <c r="AJ60" i="9"/>
  <c r="AK47" i="9"/>
  <c r="AI47" i="9"/>
  <c r="AJ47" i="9"/>
  <c r="AJ35" i="9"/>
  <c r="AI35" i="9"/>
  <c r="AK35" i="9"/>
  <c r="AK65" i="9"/>
  <c r="AJ65" i="9"/>
  <c r="AI65" i="9"/>
  <c r="AJ46" i="9"/>
  <c r="AI46" i="9"/>
  <c r="B4" i="14" s="1"/>
  <c r="AK46" i="9"/>
  <c r="AI63" i="9"/>
  <c r="AK63" i="9"/>
  <c r="AJ63" i="9"/>
  <c r="B2" i="14" l="1"/>
  <c r="B3" i="14"/>
  <c r="C5" i="14" l="1"/>
  <c r="C3" i="14"/>
  <c r="D5" i="14"/>
  <c r="E4" i="14"/>
  <c r="E6" i="14"/>
  <c r="D3" i="14"/>
  <c r="E3" i="14"/>
  <c r="E2" i="14"/>
  <c r="C2" i="14"/>
  <c r="D4" i="14"/>
  <c r="C6" i="14"/>
  <c r="E5" i="14"/>
  <c r="D6" i="14"/>
  <c r="D2" i="14"/>
  <c r="C4" i="14"/>
  <c r="AE6" i="9" l="1"/>
  <c r="C6" i="9" s="1"/>
  <c r="AC62" i="9"/>
  <c r="AC63" i="9" s="1"/>
  <c r="AC34" i="9"/>
  <c r="AE34" i="9" s="1"/>
  <c r="C34" i="9" s="1"/>
  <c r="AC35" i="9" l="1"/>
  <c r="AC36" i="9" s="1"/>
  <c r="AE36" i="9" s="1"/>
  <c r="C36" i="9" s="1"/>
  <c r="AE63" i="9"/>
  <c r="C63" i="9" s="1"/>
  <c r="AE62" i="9"/>
  <c r="C62" i="9" s="1"/>
  <c r="AC37" i="9" l="1"/>
  <c r="AE37" i="9" s="1"/>
  <c r="C37" i="9" s="1"/>
  <c r="AE35" i="9"/>
  <c r="C35" i="9" s="1"/>
  <c r="AC64" i="9"/>
  <c r="AC38" i="9" l="1"/>
  <c r="AE38" i="9" s="1"/>
  <c r="C38" i="9" s="1"/>
  <c r="AE64" i="9"/>
  <c r="C64" i="9" s="1"/>
  <c r="AC39" i="9" l="1"/>
  <c r="AC40" i="9" s="1"/>
  <c r="AE39" i="9" l="1"/>
  <c r="C39" i="9" s="1"/>
  <c r="AC41" i="9"/>
  <c r="AE40" i="9"/>
  <c r="C40" i="9" s="1"/>
  <c r="AC42" i="9" l="1"/>
  <c r="AE41" i="9"/>
  <c r="C41" i="9" s="1"/>
  <c r="AE42" i="9" l="1"/>
  <c r="C42" i="9" s="1"/>
  <c r="AC65" i="9"/>
  <c r="AE65" i="9" l="1"/>
  <c r="C65" i="9" s="1"/>
  <c r="AC66" i="9" l="1"/>
  <c r="AC43" i="9" l="1"/>
  <c r="AE66" i="9"/>
  <c r="C66" i="9" s="1"/>
  <c r="AE43" i="9" l="1"/>
  <c r="C43" i="9" s="1"/>
  <c r="AC67" i="9"/>
  <c r="AC68" i="9" s="1"/>
  <c r="AE68" i="9" s="1"/>
  <c r="C68" i="9" s="1"/>
  <c r="AC44" i="9" l="1"/>
  <c r="AE67" i="9"/>
  <c r="C67" i="9" s="1"/>
  <c r="AE44" i="9" l="1"/>
  <c r="C44" i="9" s="1"/>
  <c r="AC45" i="9" l="1"/>
  <c r="AC46" i="9" s="1"/>
  <c r="AE46" i="9" s="1"/>
  <c r="C46" i="9" s="1"/>
  <c r="AE45" i="9" l="1"/>
  <c r="C45" i="9" s="1"/>
  <c r="AC21" i="9"/>
  <c r="AE21" i="9" l="1"/>
  <c r="C21" i="9" s="1"/>
  <c r="AC30" i="9"/>
  <c r="AE30" i="9" l="1"/>
  <c r="C30" i="9" s="1"/>
  <c r="AC31" i="9"/>
  <c r="AE31" i="9" l="1"/>
  <c r="C31" i="9" s="1"/>
  <c r="AC32" i="9"/>
  <c r="AC47" i="9" l="1"/>
  <c r="AE32" i="9"/>
  <c r="C32" i="9" s="1"/>
  <c r="AE47" i="9" l="1"/>
  <c r="C47" i="9" s="1"/>
  <c r="AC60" i="9"/>
  <c r="AE60" i="9" s="1"/>
  <c r="C60" i="9" s="1"/>
</calcChain>
</file>

<file path=xl/sharedStrings.xml><?xml version="1.0" encoding="utf-8"?>
<sst xmlns="http://schemas.openxmlformats.org/spreadsheetml/2006/main" count="936" uniqueCount="370">
  <si>
    <t>Id</t>
  </si>
  <si>
    <t>Tester + Date</t>
  </si>
  <si>
    <t>Test Author + Date</t>
  </si>
  <si>
    <t>Test outcome description</t>
  </si>
  <si>
    <t>Test Outcome code</t>
  </si>
  <si>
    <t>Test Codes</t>
  </si>
  <si>
    <t>OK</t>
  </si>
  <si>
    <t>Action done</t>
  </si>
  <si>
    <t>Link to detailed outcome description</t>
  </si>
  <si>
    <t>18.2</t>
  </si>
  <si>
    <t>24.2</t>
  </si>
  <si>
    <t>35.2</t>
  </si>
  <si>
    <t>30.3</t>
  </si>
  <si>
    <t>53.1</t>
  </si>
  <si>
    <t>25.2</t>
  </si>
  <si>
    <t>PBL Input</t>
  </si>
  <si>
    <t>MIN</t>
  </si>
  <si>
    <t>LIKELY</t>
  </si>
  <si>
    <t>MAX</t>
  </si>
  <si>
    <t>Mean</t>
  </si>
  <si>
    <t>StdDev</t>
  </si>
  <si>
    <t>Variance</t>
  </si>
  <si>
    <t>SUM</t>
  </si>
  <si>
    <t>Comment</t>
  </si>
  <si>
    <t>Sprint</t>
  </si>
  <si>
    <t>N/A</t>
  </si>
  <si>
    <t>ID</t>
  </si>
  <si>
    <t>New Mean</t>
  </si>
  <si>
    <t>Implemented</t>
  </si>
  <si>
    <t>Ideal Burndown</t>
  </si>
  <si>
    <t>Average</t>
  </si>
  <si>
    <t>Min</t>
  </si>
  <si>
    <t>Max</t>
  </si>
  <si>
    <t>Velocity</t>
  </si>
  <si>
    <t>New PBL LMIN</t>
  </si>
  <si>
    <t>New PBL LMAX</t>
  </si>
  <si>
    <t>Not Tested</t>
  </si>
  <si>
    <t>NOK</t>
  </si>
  <si>
    <t>OK with Errors</t>
  </si>
  <si>
    <t>Task</t>
  </si>
  <si>
    <t>Current sprint</t>
  </si>
  <si>
    <t>Sprint Length</t>
  </si>
  <si>
    <t>Remaining Work</t>
  </si>
  <si>
    <t>Precision</t>
  </si>
  <si>
    <t>Aggregated LMAX</t>
  </si>
  <si>
    <t>Acceptance Test Labels</t>
  </si>
  <si>
    <t>In Scope</t>
  </si>
  <si>
    <t>Acceptance Test</t>
  </si>
  <si>
    <t>Task ID</t>
  </si>
  <si>
    <t>Target
Precision
Level</t>
  </si>
  <si>
    <t>Requirement Breakdown
Unique Reference</t>
  </si>
  <si>
    <t>Precondition/ Context
(Given)</t>
  </si>
  <si>
    <t>Test specification description
(When)</t>
  </si>
  <si>
    <t>Expected result 
(Then)</t>
  </si>
  <si>
    <t>Weighted
Uncertainty
Contribution</t>
  </si>
  <si>
    <t>Lmin</t>
  </si>
  <si>
    <t>Lmax</t>
  </si>
  <si>
    <t>Tasks - Sprint Backlog</t>
  </si>
  <si>
    <t>Task
number</t>
  </si>
  <si>
    <t>Day 
0</t>
  </si>
  <si>
    <t>Day 
1</t>
  </si>
  <si>
    <t>Day 
2</t>
  </si>
  <si>
    <t>Day 
3</t>
  </si>
  <si>
    <t>Day 
4</t>
  </si>
  <si>
    <t>Day 
5</t>
  </si>
  <si>
    <t>Sprint
Remaining</t>
  </si>
  <si>
    <t>Test Case
Remaining</t>
  </si>
  <si>
    <t>Test Case 
ID Done</t>
  </si>
  <si>
    <t>New
Mean</t>
  </si>
  <si>
    <t>New 
Lmin</t>
  </si>
  <si>
    <t>New
Lmax</t>
  </si>
  <si>
    <t>Actual time
spent</t>
  </si>
  <si>
    <t>Days in
sprint</t>
  </si>
  <si>
    <t>End Day</t>
  </si>
  <si>
    <t>Velocity Chart based Original Estimates</t>
  </si>
  <si>
    <t>New Standard Deviation</t>
  </si>
  <si>
    <t>New Variance</t>
  </si>
  <si>
    <t>Aggregated Mean</t>
  </si>
  <si>
    <t>Acceptance Tests - Product Backlog</t>
  </si>
  <si>
    <t>Dependency</t>
  </si>
  <si>
    <t>End User</t>
  </si>
  <si>
    <t>Bug</t>
  </si>
  <si>
    <t>Yes</t>
  </si>
  <si>
    <t>No</t>
  </si>
  <si>
    <t>Prio</t>
  </si>
  <si>
    <t xml:space="preserve"> </t>
  </si>
  <si>
    <t>Aggregated Standard Deviation</t>
  </si>
  <si>
    <t xml:space="preserve">GIVEN </t>
  </si>
  <si>
    <t xml:space="preserve">WHEN </t>
  </si>
  <si>
    <t xml:space="preserve">THEN </t>
  </si>
  <si>
    <t>Points</t>
  </si>
  <si>
    <t>Use button below to change level of detail presented.</t>
  </si>
  <si>
    <t>Link to MADI Artifacts</t>
  </si>
  <si>
    <t>GIVEN  you are logged in to the system as test lead
WHEN chosing to create a test sequence
THEN you should be able to add tests and save and name test sequence</t>
  </si>
  <si>
    <t>GIVEN you are logged in as test lead, local editor, master editor
WHEN chosing to create a test routine
THEN you should be able to add test sequence, test cases and be able to save it with a name.</t>
  </si>
  <si>
    <t>GIVEN =CONCATENATE(Parameters!$B$2;F6;CHAR(10);Parameters!$B$3;G6;CHAR(10);Parameters!$B$4;H6)</t>
  </si>
  <si>
    <t>chosing to create a test sequence</t>
  </si>
  <si>
    <t xml:space="preserve"> chosing to create a test routine</t>
  </si>
  <si>
    <t xml:space="preserve"> chosing to create a test case</t>
  </si>
  <si>
    <t>chosing to edit a test case</t>
  </si>
  <si>
    <t>TCR2</t>
  </si>
  <si>
    <t>You should be able to see the data connected to the test case</t>
  </si>
  <si>
    <t>chosing to view a test case</t>
  </si>
  <si>
    <t>TCR3</t>
  </si>
  <si>
    <t>arto</t>
  </si>
  <si>
    <t>You should get a log specifying when it was changed and  it should be possible to see what was changed between two dates. Export-possibility to share information with stakeholders outside system.</t>
  </si>
  <si>
    <t>Chosing a test sequence or a test case</t>
  </si>
  <si>
    <t>You select to view a log of test case changes.</t>
  </si>
  <si>
    <t>When updating a test case creating a new version</t>
  </si>
  <si>
    <t>Should be possible to view test cases for different categories (truck functions)</t>
  </si>
  <si>
    <t>When chosing to view test cases</t>
  </si>
  <si>
    <t>You should have an easy overview of test cases and a possibility to easily extract or share the data with people with no access to the system</t>
  </si>
  <si>
    <r>
      <t>You should be able to see when test sequence or tests within the sequence were latest used.</t>
    </r>
    <r>
      <rPr>
        <b/>
        <sz val="8"/>
        <rFont val="Arial"/>
        <family val="2"/>
      </rPr>
      <t xml:space="preserve"> (This is needed to be able to sort\hide or remove test cases).</t>
    </r>
  </si>
  <si>
    <t>You should be able to search test cases for different categories(truck functions).</t>
  </si>
  <si>
    <t>when  choosing a variant for a specific product class</t>
  </si>
  <si>
    <t>You should see valid test cases for that variant and product class combination.</t>
  </si>
  <si>
    <t>Test cases should be updated with the tag.</t>
  </si>
  <si>
    <t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t>
  </si>
  <si>
    <t>you should be able to add description and create a protocol(Add activities as check list).
You should aso be able to chose periodicity.(one time every morning other.)</t>
  </si>
  <si>
    <t>TCR1</t>
  </si>
  <si>
    <t>selecting multiple test cases for editing</t>
  </si>
  <si>
    <t>You should be able to sort and select test cases and replace words in description and expected results for the selected test cases  or add or remove variants\product classes</t>
  </si>
  <si>
    <t>You should be able to address owners of custom test sequence about the change through the system. Be able to send out a  notice or similar.</t>
  </si>
  <si>
    <t>AM] As a Local Editor, I want to have a good overview of how many test cases and of what type in all categories (truck functions). To have a quick way of detecting areas missing test cases or having too many.</t>
  </si>
  <si>
    <t>AM] As a Local Editor, I want to have a quick and easy way of selecting test cases and export them. When receiving requests from people without access to the system to look at specific test cases.</t>
  </si>
  <si>
    <t>AM] As a Master Editor, when updating a existing test case (creating a new version) I want to be able to send out a notice to the oweners of custom test sequences using the test case.</t>
  </si>
  <si>
    <t>[AM] As a Master Editor, I want to see when a test case and test sequence was last used (Exported). To be able to manage (delete/hide/sort) unused test cases and sequences.</t>
  </si>
  <si>
    <t>AM] As a Master Editor, I want a changelog of all changes made in test cases and be able to export a list of changes between two dates. To inform interested parties of changes made.</t>
  </si>
  <si>
    <t>[AM] As a Master Editor I would like the possiblity to keep an old version of a test case. Getting a notice when a new version of a test case is available.</t>
  </si>
  <si>
    <t>[UR] As a Local Editor, I want a quick overview of the variants in a particular Product Class which do not have test cases so as to ensure no variant in a PC is missed from testing.</t>
  </si>
  <si>
    <t>UR] As a Local Editor, I want a platform where I can receive changes related to a Function directly from commodity in order to reduce the time to update test cases when any solution is changed</t>
  </si>
  <si>
    <t>[TL] As a test engineer, I want to be able to mark the testcases with different tags as back office, features, testcase version, navigation, raining, snow etc</t>
  </si>
  <si>
    <t>Editing a test case you should have the possibility to add tags to the test case from a pre-defined list.</t>
  </si>
  <si>
    <t>[TL] As a test engineer, I want to be able to add picture or video to test case.</t>
  </si>
  <si>
    <t>Editing a test case you should have the possibility to add attachements to a test case</t>
  </si>
  <si>
    <t>The attachement should be added to the test case and it should be possible to click the attachement viewing the test case</t>
  </si>
  <si>
    <t>[TL]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t>
  </si>
  <si>
    <t>[TL] As a test engineer, I want to be able to create test sequences from product class and variants. It should be possible to sort from different tags or marks.</t>
  </si>
  <si>
    <t>Creating a test sequence you should be able to filter on product class and variants to find valid test cases for your test sequence. You should be able to select all or parts of the test cases and add to your sequence. Then you can save it.</t>
  </si>
  <si>
    <t>Test sequence should be saved with  the name you chose.</t>
  </si>
  <si>
    <t>[TL] As a global responsible, I want that there always is a English testcase in the background for all testcases so you can check all tests done on it.</t>
  </si>
  <si>
    <t>Searching for test cases or clicking on a test case there should always be an english description and result text for it.</t>
  </si>
  <si>
    <t>You should be presented with English text.</t>
  </si>
  <si>
    <t>[TL] As a global responsible, I want to be able to see all variants of the testcase for all specs and product classes</t>
  </si>
  <si>
    <t>[CL] As a test engineer, i want to store my test sequences automatically in easy to find location within the tool.</t>
  </si>
  <si>
    <t>[AM] As a Master Editor, I want to get feedback right away when a change is made in variant filter. If product classes are included, if a variant exist in product class. "Extended syntax check"</t>
  </si>
  <si>
    <t>TJ] As a test engineer, I want to be able to easily add a temporary test case. It shall be easy to track.</t>
  </si>
  <si>
    <t>Tim Janson</t>
  </si>
  <si>
    <t>[UR] As a Test Engineer, I want to schedule the test case execution over the testing week based on availability of resources like loads, fuel and driver for night shift etc so as to avoid wasting time searching for test cases which can be executed for that day.</t>
  </si>
  <si>
    <t>Hv Usha Rani</t>
  </si>
  <si>
    <t>[VM] As a test engineer, I want to be able to easily filter the test case according to the vehicle specification, e.g according to vehicle, engine and/or gearbox Specification, to avoid having to read and mark a lot of test cases as not applicable.</t>
  </si>
  <si>
    <t>Victor Machay</t>
  </si>
  <si>
    <t>[VM] As a test engineer, I want to be able to easily find a link between Test Case and possible support person/expert for this test case to get help understanding a reported issue.</t>
  </si>
  <si>
    <t>[TJ] As a test engineer, I would like the Test Case to include information specific to the vehicle being tested. E.g. Max road speed, Max CC speed, CC resume speed, Engine idle shut down time etc., etc, so I don't have to look them up in Protus/Protom or in Kola.</t>
  </si>
  <si>
    <t>Tim Jansson</t>
  </si>
  <si>
    <t>Thomas Larsson</t>
  </si>
  <si>
    <t>[TL] As a test engineer, I want to be able to trigg testcode on markers as geofence, ok for testcase, nok for testcode etc.</t>
  </si>
  <si>
    <t>[TL] As a test engineer, I want a system that send tasks to the relevant role (testleader, fleet admin, transport leader, driver etc. (To be able to test systems/functions that is dependent on input from other areas (Testleader, weather, cargo, load, driver status, etc.)</t>
  </si>
  <si>
    <t>[TL] As a test engineer, I want to be able to check previous written protuses (Fault reports) against the testcases that I or other test engineers have written.</t>
  </si>
  <si>
    <t>Prototype(Mockup) reference</t>
  </si>
  <si>
    <t>[TJ] As a tester, I want to be able to pause a test for a certain amount of time so it reappears in a while.</t>
  </si>
  <si>
    <t>[TJ] As a tester, I want to be able to receive test cases randomly.</t>
  </si>
  <si>
    <t>[VM] As a tester, I want to be able to easily perform the test by following steps and making sure each one was followed and concluded to certify the test case is executed as intended. Something similar to what we have today with Guided Diagnostics when using Techtool.</t>
  </si>
  <si>
    <t>[VM] As a tester, I want to see the preconditions to a test case to verify that the test case actually can be performed in the present conditions.</t>
  </si>
  <si>
    <t>[VM] As a tester, I want to be able easily find pictures related to the test case to be able to recognize specific components quickly. Like what we have today in some EE Check.</t>
  </si>
  <si>
    <t>[TJ] As a tester, I want to be able to decide what kind of test case I want to test at this specific time (trailer, stand-still etc.).</t>
  </si>
  <si>
    <t>[TJ] As a test engineer, I want to be able to easily generate a test status (progress, faults found on each TF) during the test. It shall be easy to present the output.</t>
  </si>
  <si>
    <t>[UR] As a Test Engineer, I want to see a tool where I can create a test dairy for a planned test and add items like test progress graph(including option to add reasons for test delay), TF status, faults reported, fuel sheet, shift comments and DTCs noticed so that the test status can be quickly created and shared as daily updates to project without having to spend much time on test dairy format.</t>
  </si>
  <si>
    <t>[VM] As a test engineer, I want to be able to easily get traceability of same test cases already done around the world, by choosing them easily through Product Class, Engine Type and easily finding related Protus to them to get help and knowledge from previous executions of the same test case under similar circumstances.</t>
  </si>
  <si>
    <t>[TL] As a test engineer, I want to be able to see if the testcodes are triggered by a fault code or other trigger.</t>
  </si>
  <si>
    <t>[TL] As a test engineer, I want to be able to have an easy way to export the results to appendix to ER or complete report? (Automatic report generator)</t>
  </si>
  <si>
    <t>[TL] As a test engineer, I want to be able to check logs on Bluetooth, Wi-Fi or other connection availability around the truck. (For test cases using this devices)</t>
  </si>
  <si>
    <t>[JE] As a global responsible I would like to see how one function is tested on all Group Trucks products independent of solution</t>
  </si>
  <si>
    <t>Jessica Erlandsson</t>
  </si>
  <si>
    <t>[JE] As a global responsible I would like to see results of a test case for all Product Classes in a certain time interval</t>
  </si>
  <si>
    <t>[JE] As global responsible I would like to get reports from PVT Testing in the same format independent of product class in order to give professional output with the same setup no matter site or product class.</t>
  </si>
  <si>
    <t>[TL] As a global responsible I would like to be able to check previously written protuses (Fault reports) against the testcases on all markets</t>
  </si>
  <si>
    <t>[UR/JE] As a test engineer I need to have daily control of the DTCs set during the test. The transfer of DTC lists should be as smooth as log file transfer and stored connected to the test and truck. I would like the fault frequency during the test to be compiled and possible to include in the ER. I would like explanations of the DTCs and the possibility to look into what a mechanic would do to correct the fault (currently Guided Diagnostics and Tech Tool). I would like the possiblity to write validation reports of different steps in the chain.</t>
  </si>
  <si>
    <t>[JE] As a global responsible I would like the possiblity to go back in history and check a test case that was used in a historical test (even if the test cases have been updated I need to see the sequence that was run and what functions that were connected)</t>
  </si>
  <si>
    <t>Cedric Lavabre</t>
  </si>
  <si>
    <t>[CL] As a test engineer I like the way E-Facts, have the possibility to put files as nonProtus. I use this for PVTCheck report or when there is uncertainty if i write a protus or not.</t>
  </si>
  <si>
    <t>[UR] As a Test Engineer, I want to have an option to log continuous GPS data for some special test cases like Speedometer and Odometer verification so that I can quickly compare the vehicle data with GPS data to estimate the calibration error.</t>
  </si>
  <si>
    <t>[UR] As a Test Engineer, I want to see the list of DTCs (both Active and Inactive) while listening to log files in eFACTS so that I don’t have to open each log file in CANalyzer and search for any DTCs.</t>
  </si>
  <si>
    <t>[UR/JE] As a Test Engineer, I want to be able to analyze a DTC and see what is written about it in SEWS, Guided Diagnostics and Tech Tool (tool available for the external mechanics). I want the description of the DTC to be automatically connected to the logfile and links to be presented for further investigation.</t>
  </si>
  <si>
    <t>[UR/JE] As a Test Engineer, I want to be able to use Impact as a tool for investigation and connect information from Impact to a fault that occured.</t>
  </si>
  <si>
    <t>[UR] As a Test Engineer, I want an option in eFACTS to quickly move to an CAN analysis software to analyze the CAN signals so that I don't have to mail the mea package to my ID and then download it to open the CAN log in CANalyzer</t>
  </si>
  <si>
    <t>[TL] As a test engineer, I want to be able to see who put ok/nok on testcase and when. (Time is important for telematics fault tracing).</t>
  </si>
  <si>
    <t>[TL] As a test engineer, I want to be able to see pictures or movies on faults and how it should work. If you get a telltail or pop up you should be able to check the trigging condition and right behavior for them</t>
  </si>
  <si>
    <t>Usha Rani</t>
  </si>
  <si>
    <t>Usha Rani, Jessica Erlandsson</t>
  </si>
  <si>
    <t>Test cases should be added to your test sequence / test method</t>
  </si>
  <si>
    <t>looking at a specific test case: 
 if it exist for other product classes
It should be possible to view description and expected result</t>
  </si>
  <si>
    <t xml:space="preserve">You are logged in as Master Editor </t>
  </si>
  <si>
    <t>A change is made to a variant filter (I.e. new product class is included)</t>
  </si>
  <si>
    <t>You should be presented with the change</t>
  </si>
  <si>
    <t>there is a need I should be able to create a temporary test case</t>
  </si>
  <si>
    <t>your test case are available for use for your purpose only. It could be added to test methods that you are responsible for</t>
  </si>
  <si>
    <t>You should be presented with description and expected result for the different product classes using the test case.</t>
  </si>
  <si>
    <t>A test vehicle is assigned to the test request you should be able to view some vehicle information</t>
  </si>
  <si>
    <t>Looking at the vehicle info you should be presented with what is avaialable in Protom\protus \EDB(TCP integration?)</t>
  </si>
  <si>
    <t>Identifying a potential error I would need a contact for the function not working.</t>
  </si>
  <si>
    <t>You should be presented with s contact person for the truck function\E2E function that you test.</t>
  </si>
  <si>
    <t>a list with relevant test cases for the test to be executed.</t>
  </si>
  <si>
    <t>specifying test cases  for a specific test, you should be able to filter test cases according to the vehicle specification</t>
  </si>
  <si>
    <t>doing my analyse of reported errors I would like to be able to identify previously written protus reports against the test case I work with.</t>
  </si>
  <si>
    <t>Should be presented with protus ids relevant for you and a link to protus report would be prefeered.</t>
  </si>
  <si>
    <t>Performing tests , it should be possible to schedule a test case for a specific amount of time</t>
  </si>
  <si>
    <t>The test case should appear after the scheduled time. Business rules around this needs to be discussed.</t>
  </si>
  <si>
    <t>WHAT IS THE PURPOSE?</t>
  </si>
  <si>
    <t>performing tests I should be able to view TAGS for a specific test case</t>
  </si>
  <si>
    <t>You should be able to view TAGS for test cases</t>
  </si>
  <si>
    <t>when coosing one or more test cases you should be able to tag them with predefined tags as( back office, features, testcase version, navigation, raining, snow).  You should be able to add tags to one or more test cases</t>
  </si>
  <si>
    <t>HUR SKALL DETTA FUNKA!</t>
  </si>
  <si>
    <t>Test case should be updated with tags as attributes that should be searchable.</t>
  </si>
  <si>
    <t>creating test sequences they should be easily accessed</t>
  </si>
  <si>
    <t>I will easily find sequences and will be able to use them.</t>
  </si>
  <si>
    <t>performing test execution I should be able to decide what test cases I want to execute at the moment.</t>
  </si>
  <si>
    <t>It should be possible to decide tests as long as there is no "strict sequence of tests"</t>
  </si>
  <si>
    <t>[TL] As a test engineer, I want to be able to in some way mark a testcode so it is not available to perform until another testcase is finished.(or task performed by Test Engineer)</t>
  </si>
  <si>
    <t>[TL] As a test engineer, I want to be able to divide testcases in sequences with different tasks for Test Engineers and for drivers or other test roles.</t>
  </si>
  <si>
    <t>[TL] As a test engineer, I want to have the same application in the computer so the Test Engineer can perform his test cases. It will also be possible for other to test. EE,OBT Buss etc.</t>
  </si>
  <si>
    <t>working with your test sequence/test method you should be able to retrieve and add test cases built for other product classes(sites)</t>
  </si>
  <si>
    <t>HUR SKALL DETTA FUNKA?</t>
  </si>
  <si>
    <t>WOULD YOU LIKE TEST ENGINEER AND TESTER IN THE SAME SYSTEM?</t>
  </si>
  <si>
    <t>doing analyse and report I would like to easily create a report that could be sorted and filtered in different ways</t>
  </si>
  <si>
    <t>You should be able to get a filtered  and sorted report over the current status of the test</t>
  </si>
  <si>
    <t>Performing your test you should have access to pictures uploaded to the test case.</t>
  </si>
  <si>
    <t>if you click on a picture it should be visible for you.</t>
  </si>
  <si>
    <t>chosing to create a test diary</t>
  </si>
  <si>
    <t>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t>
  </si>
  <si>
    <t>looking for same or similar test cases done for other product classes I should easily find them</t>
  </si>
  <si>
    <t>I should easily be able to extract them and also be able to see what protus reports are connected to them.</t>
  </si>
  <si>
    <t>???</t>
  </si>
  <si>
    <t>building the Engineering report  you should be able to add results to an appendix or add them directly to the ER report.</t>
  </si>
  <si>
    <t>Your information will be added to the report and you should have the possibility to complete your report(Automatic report generator)</t>
  </si>
  <si>
    <t xml:space="preserve">looking at how a truck function is tested globally, </t>
  </si>
  <si>
    <t>searching for results of a specific test case It should be possible to specify between two dates</t>
  </si>
  <si>
    <t>you should get a list of all tests and reported result in a easy to view format</t>
  </si>
  <si>
    <t>you should be presented with how this truck function is tested on all Group Trucks products independent of solution(test case, description,expected result?).</t>
  </si>
  <si>
    <t xml:space="preserve"> you should be able to add test cases and save and name test sequence with a unique name</t>
  </si>
  <si>
    <t xml:space="preserve">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t>
  </si>
  <si>
    <t xml:space="preserve">You should be able to edit data and save the test case.
Test case will get a new version.
The change will be logged (who and when).
</t>
  </si>
  <si>
    <t>testCase</t>
  </si>
  <si>
    <t>TestRoutine</t>
  </si>
  <si>
    <t>TestCase</t>
  </si>
  <si>
    <t>custom test sequence</t>
  </si>
  <si>
    <t>TestSequence</t>
  </si>
  <si>
    <t>Local Editor</t>
  </si>
  <si>
    <t>Master Editor</t>
  </si>
  <si>
    <t>Function changes</t>
  </si>
  <si>
    <t>development test case</t>
  </si>
  <si>
    <t xml:space="preserve">TestCase </t>
  </si>
  <si>
    <t>TestCase Sceduling</t>
  </si>
  <si>
    <t>TestCase Identifying</t>
  </si>
  <si>
    <t>support person/expert for this test case</t>
  </si>
  <si>
    <t>TestCase Support</t>
  </si>
  <si>
    <t>TestObject</t>
  </si>
  <si>
    <t>TestReport</t>
  </si>
  <si>
    <t>perform test</t>
  </si>
  <si>
    <t>status test</t>
  </si>
  <si>
    <t>Test diary</t>
  </si>
  <si>
    <t>Measurements</t>
  </si>
  <si>
    <t>Report Generator</t>
  </si>
  <si>
    <t>TruckFunction</t>
  </si>
  <si>
    <t>Product Class</t>
  </si>
  <si>
    <t>creating reports for different Product Classes</t>
  </si>
  <si>
    <t>I expect same format/layout independent on site or product classes</t>
  </si>
  <si>
    <t>logged in to the system</t>
  </si>
  <si>
    <t>logged in as Local editor to the system</t>
  </si>
  <si>
    <t>logged in as Test Engineer to the system</t>
  </si>
  <si>
    <t>You are logged in as a Global Responsible</t>
  </si>
  <si>
    <t>logged in as a Global Responsible</t>
  </si>
  <si>
    <t>logged in to the system as 
Test Lead, Master editor, Local editor</t>
  </si>
  <si>
    <t>logged in as Master Editor to the system</t>
  </si>
  <si>
    <t>logged in as Local Editor to the system</t>
  </si>
  <si>
    <t>logged in as Test Lead</t>
  </si>
  <si>
    <t>logged in as Global Responsible to the system</t>
  </si>
  <si>
    <t>logged in as Tester to the system</t>
  </si>
  <si>
    <t>Test Report</t>
  </si>
  <si>
    <t>When searching reports</t>
  </si>
  <si>
    <t>I want to retrieve related protus-reports and testCases</t>
  </si>
  <si>
    <t>Test Traceability</t>
  </si>
  <si>
    <t>Viewing the history of a Test</t>
  </si>
  <si>
    <t xml:space="preserve">I would like to see the testcases(including functions) and testSequences it was used in </t>
  </si>
  <si>
    <t>[CL] As a test engineer I need 64 characters for Non Protus SW version, actually you can write only 32 characters today. For example: W1606.1_16A0_E6_Sop1637_PVTCheck_FE-248.</t>
  </si>
  <si>
    <t>Software Version</t>
  </si>
  <si>
    <t>Impact</t>
  </si>
  <si>
    <t>Epic Area</t>
  </si>
  <si>
    <t>Notes</t>
  </si>
  <si>
    <t>Prepare Test</t>
  </si>
  <si>
    <t>Report Test</t>
  </si>
  <si>
    <t>Perform Test</t>
  </si>
  <si>
    <t>Non-functional requirements</t>
  </si>
  <si>
    <t>NFR 2. It shall be logical to use</t>
  </si>
  <si>
    <t>AR 1. It shall be possible to manage sub-groups of users</t>
  </si>
  <si>
    <t>TCR 1. It shall be possible to create test cases</t>
  </si>
  <si>
    <t>TRR 1. It shall be possible to create routines</t>
  </si>
  <si>
    <t xml:space="preserve"> TPR 1. It shall be possible to create a procedure</t>
  </si>
  <si>
    <t>TestProcedure</t>
  </si>
  <si>
    <t xml:space="preserve"> TMR 1. It shall be possible to create a test</t>
  </si>
  <si>
    <t>TCR 1.1. It shall be possible to create development test cases</t>
  </si>
  <si>
    <t xml:space="preserve">TCR 1.2. It shall be possible to temporary edit test cases </t>
  </si>
  <si>
    <t>TCR 1.3. It shall be possible to use data from PROTUS to create new test cases</t>
  </si>
  <si>
    <t>TCR 1.4. It shall be possible to use data from Refiner to create new test cases</t>
  </si>
  <si>
    <t>TCR 1.5. It shall be possible to connect a test case to a vehicle variant combination</t>
  </si>
  <si>
    <t>TCR 2. It shall be possible to edit test cases</t>
  </si>
  <si>
    <t>TCR 3. It shall be possible to monitor test cases</t>
  </si>
  <si>
    <t>TCR 4. It shall be possible to track changes</t>
  </si>
  <si>
    <t>TCR 5. It shall be possible to connect test cases to product classes</t>
  </si>
  <si>
    <t>TCR 5.1. It shall be possible to connect several expected results to one test case</t>
  </si>
  <si>
    <t>TCR 5.2. It shall be possible to trace test cases to a product class variant</t>
  </si>
  <si>
    <t>TCR 5.3. It shall be possible to trace test cases to a variant (in many product classes)</t>
  </si>
  <si>
    <t>TCR 5.4. It shall be possible to trace results of a test case that has been driven anywhere in the world (any product class)</t>
  </si>
  <si>
    <t>TCR 5.4. It shall be possible to trace test results of a test case connected to a specific product class</t>
  </si>
  <si>
    <t>TRR 2. It shall be possible to edit routines</t>
  </si>
  <si>
    <t>TRR 3. It shall be possible to trace changes in routines</t>
  </si>
  <si>
    <t>TRR 4. It shall be possible to monitor routines</t>
  </si>
  <si>
    <t>TPR 2. It shall be possible to edit procedures</t>
  </si>
  <si>
    <t xml:space="preserve"> TPR 3. It shall be possible to trace changes in procedures</t>
  </si>
  <si>
    <t>TPR 4. It shall be possible to monitor procedures</t>
  </si>
  <si>
    <t>TCR 6. It shall be possible to connect a problem (PROTUS) report to a test case</t>
  </si>
  <si>
    <t>TMR 2. It shall be possible to edit a test</t>
  </si>
  <si>
    <t xml:space="preserve">TMR 3. It shall be possible to manage a test </t>
  </si>
  <si>
    <t>TMR 4. It shall be possible to follow-up a test</t>
  </si>
  <si>
    <t>AR 4. It shall be possible to manage structure.</t>
  </si>
  <si>
    <t>AR 5. It shall be possible to manage TAGS</t>
  </si>
  <si>
    <t>AR 6. It shall be possible to manage TOOLS</t>
  </si>
  <si>
    <t>AR 7. It shall be possible to manage ACRONYMS</t>
  </si>
  <si>
    <t>AR 8. It shall be possible to manage Truck Functions</t>
  </si>
  <si>
    <t>User Management</t>
  </si>
  <si>
    <t>NFR 1. It shall be easy to use</t>
  </si>
  <si>
    <t>NFR 1.1. The information presented shall be easy to overview</t>
  </si>
  <si>
    <t>NFR 1.2. There shall be no information overload</t>
  </si>
  <si>
    <t>NFR 1.3. The right information shall be presented in the right time</t>
  </si>
  <si>
    <t>NFR 3. It shall be reliable</t>
  </si>
  <si>
    <t>NFR 4. Uptime shall be 99,9%</t>
  </si>
  <si>
    <t xml:space="preserve">NFR 5. There shall be a backup of all data, taken every XX hours. </t>
  </si>
  <si>
    <t xml:space="preserve">NFR 6. The tool shall be dynamic, open for change </t>
  </si>
  <si>
    <t>NRF 6.1. The tool shall be open for internal related tools can change</t>
  </si>
  <si>
    <t>NFR 6.2. The tool shall be open for new ways of working, it shall be easy to adapt to changes</t>
  </si>
  <si>
    <t>NFR 6.3. It shall be a smaller task to add a new way of working (using parts of previous way of working, adding something new)</t>
  </si>
  <si>
    <t>NFR 7. The development of this tool shall be performed in close cooperation with the future users</t>
  </si>
  <si>
    <t>AR 1.1. It shall be possible to view existing groups.</t>
  </si>
  <si>
    <t>AR 1.2. It shall be possible to create/edit/delete a group.</t>
  </si>
  <si>
    <t>AR 2. It shall be possible to manage user access</t>
  </si>
  <si>
    <t>AR 3. It shall be possible to manage roles and rights</t>
  </si>
  <si>
    <t>Create Test</t>
  </si>
  <si>
    <t>Create TestMethod</t>
  </si>
  <si>
    <t>EPIC</t>
  </si>
  <si>
    <t>Create TestCase</t>
  </si>
  <si>
    <t>Manage User</t>
  </si>
  <si>
    <t>Source</t>
  </si>
  <si>
    <t>Create TestResult</t>
  </si>
  <si>
    <t>TestResult</t>
  </si>
  <si>
    <t>Non-Functional</t>
  </si>
  <si>
    <t>Admin Master Data</t>
  </si>
  <si>
    <t>AM] As a Master Editor, I want to select multiple test cases and make the same change/addition to all of them. Get away from repetitive and time consuming work.
Find &amp; Replace words in test case
 Add/remove variants / product classes</t>
  </si>
  <si>
    <t>As a test engineer, I want to be able to add test cases from other product classes, variants or development test cases.</t>
  </si>
  <si>
    <t>Non Functional</t>
  </si>
  <si>
    <t>[JQ]Extract Software version from ECU in order to show as TestResult. Today we read out at every start at logging</t>
  </si>
  <si>
    <t>[JQ]Correct baseLine Version of software needs to be provided</t>
  </si>
  <si>
    <t>[JQ]Limit the input from user - solve with integrations from other applications</t>
  </si>
  <si>
    <t>[JQ]Read out more info from vehicle</t>
  </si>
  <si>
    <t>[JQ]Tester Device in vehicle should connect testcase with log</t>
  </si>
  <si>
    <t xml:space="preserve">[JQ]When Errors are sent from logger also send configuration </t>
  </si>
  <si>
    <t>[JQ]Provide Configuration templates to be able to use in TestManagement. Testing technology
för PVT är konfiguration ganska standard</t>
  </si>
  <si>
    <t>[JQ]Language support for TestCase ?</t>
  </si>
  <si>
    <t>Other</t>
  </si>
  <si>
    <t>Receive Measurement</t>
  </si>
  <si>
    <t>Baldo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</si>
</sst>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k_r_-;\-* #,##0.00\ _k_r_-;_-* &quot;-&quot;??\ _k_r_-;_-@_-"/>
    <numFmt numFmtId="164" formatCode="_-* #,##0\ _k_r_-;\-* #,##0\ _k_r_-;_-* &quot;-&quot;??\ _k_r_-;_-@_-"/>
  </numFmts>
  <fonts count="11" x14ac:knownFonts="1">
    <font>
      <sz val="10"/>
      <name val="Arial"/>
    </font>
    <font>
      <b/>
      <sz val="10"/>
      <name val="Arial"/>
      <family val="2"/>
    </font>
    <font>
      <sz val="10"/>
      <name val="Arial"/>
      <family val="2"/>
    </font>
    <font>
      <b/>
      <i/>
      <sz val="14"/>
      <name val="Times New Roman"/>
      <family val="1"/>
    </font>
    <font>
      <b/>
      <sz val="11"/>
      <color rgb="FFFA7D00"/>
      <name val="Calibri"/>
      <family val="2"/>
      <scheme val="minor"/>
    </font>
    <font>
      <sz val="10"/>
      <name val="Arial"/>
      <family val="2"/>
    </font>
    <font>
      <b/>
      <i/>
      <sz val="14"/>
      <color rgb="FFFA7D00"/>
      <name val="Times New Roman"/>
      <family val="1"/>
    </font>
    <font>
      <sz val="10"/>
      <name val="Arial"/>
      <family val="2"/>
    </font>
    <font>
      <b/>
      <sz val="12"/>
      <name val="Arial"/>
      <family val="2"/>
    </font>
    <font>
      <sz val="8"/>
      <name val="Arial"/>
      <family val="2"/>
    </font>
    <font>
      <b/>
      <sz val="8"/>
      <name val="Arial"/>
      <family val="2"/>
    </font>
  </fonts>
  <fills count="13">
    <fill>
      <patternFill patternType="none"/>
    </fill>
    <fill>
      <patternFill patternType="gray125"/>
    </fill>
    <fill>
      <patternFill patternType="solid">
        <fgColor indexed="63"/>
        <bgColor indexed="64"/>
      </patternFill>
    </fill>
    <fill>
      <patternFill patternType="gray0625">
        <fgColor indexed="9"/>
        <bgColor indexed="9"/>
      </patternFill>
    </fill>
    <fill>
      <patternFill patternType="solid">
        <fgColor rgb="FFF2F2F2"/>
      </patternFill>
    </fill>
    <fill>
      <patternFill patternType="solid">
        <fgColor theme="0"/>
        <bgColor indexed="64"/>
      </patternFill>
    </fill>
    <fill>
      <patternFill patternType="solid">
        <fgColor theme="2"/>
        <bgColor indexed="64"/>
      </patternFill>
    </fill>
    <fill>
      <patternFill patternType="gray0625">
        <fgColor indexed="9"/>
        <bgColor theme="2"/>
      </patternFill>
    </fill>
    <fill>
      <patternFill patternType="solid">
        <fgColor theme="3" tint="0.39997558519241921"/>
        <bgColor indexed="9"/>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indexed="64"/>
      </left>
      <right style="thin">
        <color indexed="64"/>
      </right>
      <top/>
      <bottom style="thin">
        <color indexed="64"/>
      </bottom>
      <diagonal/>
    </border>
  </borders>
  <cellStyleXfs count="4">
    <xf numFmtId="0" fontId="0" fillId="0" borderId="0"/>
    <xf numFmtId="0" fontId="4" fillId="4" borderId="3" applyNumberFormat="0" applyAlignment="0" applyProtection="0"/>
    <xf numFmtId="9" fontId="5" fillId="0" borderId="0" applyFont="0" applyFill="0" applyBorder="0" applyAlignment="0" applyProtection="0"/>
    <xf numFmtId="43" fontId="7" fillId="0" borderId="0" applyFont="0" applyFill="0" applyBorder="0" applyAlignment="0" applyProtection="0"/>
  </cellStyleXfs>
  <cellXfs count="98">
    <xf numFmtId="0" fontId="0" fillId="0" borderId="0" xfId="0"/>
    <xf numFmtId="0" fontId="1" fillId="0" borderId="0" xfId="0" applyFont="1"/>
    <xf numFmtId="0" fontId="2" fillId="0" borderId="0" xfId="0" applyFont="1"/>
    <xf numFmtId="0" fontId="3" fillId="0" borderId="1" xfId="0" applyFont="1" applyBorder="1" applyAlignment="1">
      <alignment vertical="top" wrapText="1"/>
    </xf>
    <xf numFmtId="0" fontId="6" fillId="4" borderId="3" xfId="1" applyFont="1" applyAlignment="1">
      <alignment vertical="top" wrapText="1"/>
    </xf>
    <xf numFmtId="164" fontId="4" fillId="4" borderId="3" xfId="3" applyNumberFormat="1" applyFont="1" applyFill="1" applyBorder="1" applyAlignment="1">
      <alignment horizontal="center" wrapText="1"/>
    </xf>
    <xf numFmtId="0" fontId="2" fillId="0" borderId="0" xfId="0" applyFont="1" applyAlignment="1">
      <alignment wrapText="1"/>
    </xf>
    <xf numFmtId="0" fontId="3" fillId="6" borderId="1" xfId="0" applyFont="1" applyFill="1" applyBorder="1" applyAlignment="1">
      <alignment vertical="top" wrapText="1"/>
    </xf>
    <xf numFmtId="0" fontId="1" fillId="6" borderId="0" xfId="0" applyFont="1" applyFill="1"/>
    <xf numFmtId="0" fontId="0" fillId="6" borderId="0" xfId="0" applyFill="1"/>
    <xf numFmtId="0" fontId="2" fillId="0" borderId="1" xfId="0" applyFont="1" applyBorder="1" applyAlignment="1">
      <alignment wrapText="1"/>
    </xf>
    <xf numFmtId="0" fontId="0" fillId="0" borderId="0" xfId="0" applyAlignment="1">
      <alignment horizontal="right"/>
    </xf>
    <xf numFmtId="164" fontId="0" fillId="0" borderId="0" xfId="0" applyNumberFormat="1" applyAlignment="1">
      <alignment horizontal="right"/>
    </xf>
    <xf numFmtId="0" fontId="2" fillId="0" borderId="0" xfId="0" applyFont="1" applyAlignment="1"/>
    <xf numFmtId="0" fontId="2" fillId="0" borderId="0" xfId="0" applyFont="1" applyAlignment="1">
      <alignment horizontal="center"/>
    </xf>
    <xf numFmtId="0" fontId="9" fillId="0" borderId="0" xfId="0" applyFont="1" applyAlignment="1">
      <alignment wrapText="1"/>
    </xf>
    <xf numFmtId="0" fontId="10" fillId="0" borderId="0" xfId="0" applyFont="1" applyAlignment="1">
      <alignment wrapText="1"/>
    </xf>
    <xf numFmtId="0" fontId="1" fillId="0" borderId="0" xfId="0" applyFont="1" applyAlignment="1"/>
    <xf numFmtId="0" fontId="9" fillId="2" borderId="1" xfId="0" applyFont="1" applyFill="1" applyBorder="1" applyAlignment="1">
      <alignment wrapText="1"/>
    </xf>
    <xf numFmtId="0" fontId="9" fillId="0" borderId="0" xfId="0" applyFont="1" applyAlignment="1"/>
    <xf numFmtId="0" fontId="9" fillId="5" borderId="1" xfId="0" applyFont="1" applyFill="1" applyBorder="1" applyAlignment="1"/>
    <xf numFmtId="0" fontId="9" fillId="0" borderId="1" xfId="0" applyFont="1" applyBorder="1" applyAlignment="1"/>
    <xf numFmtId="0" fontId="9" fillId="0" borderId="1" xfId="0" applyFont="1" applyBorder="1" applyAlignment="1">
      <alignment wrapText="1"/>
    </xf>
    <xf numFmtId="0" fontId="9" fillId="0" borderId="2" xfId="0" applyFont="1" applyBorder="1" applyAlignment="1">
      <alignment wrapText="1"/>
    </xf>
    <xf numFmtId="0" fontId="9" fillId="0" borderId="0" xfId="0" applyFont="1" applyAlignment="1">
      <alignment horizontal="center"/>
    </xf>
    <xf numFmtId="0" fontId="9" fillId="2" borderId="0" xfId="0" applyFont="1" applyFill="1" applyAlignment="1">
      <alignment wrapText="1"/>
    </xf>
    <xf numFmtId="0" fontId="9" fillId="0" borderId="1" xfId="0" applyFont="1" applyBorder="1" applyAlignment="1">
      <alignment horizontal="center" wrapText="1"/>
    </xf>
    <xf numFmtId="0" fontId="9" fillId="0" borderId="0" xfId="0" applyFont="1" applyAlignment="1">
      <alignment horizontal="center" wrapText="1"/>
    </xf>
    <xf numFmtId="0" fontId="9" fillId="3" borderId="1" xfId="0" applyFont="1" applyFill="1" applyBorder="1" applyAlignment="1">
      <alignment wrapText="1"/>
    </xf>
    <xf numFmtId="0" fontId="10" fillId="8" borderId="1" xfId="0" applyFont="1" applyFill="1" applyBorder="1" applyAlignment="1">
      <alignment wrapText="1"/>
    </xf>
    <xf numFmtId="0" fontId="10" fillId="8" borderId="1" xfId="0" applyFont="1" applyFill="1" applyBorder="1" applyAlignment="1">
      <alignment horizontal="center" wrapText="1"/>
    </xf>
    <xf numFmtId="0" fontId="10" fillId="9" borderId="1" xfId="0" applyFont="1" applyFill="1" applyBorder="1" applyAlignment="1">
      <alignment wrapText="1"/>
    </xf>
    <xf numFmtId="0" fontId="10" fillId="9" borderId="0" xfId="0" applyFont="1" applyFill="1" applyAlignment="1"/>
    <xf numFmtId="0" fontId="9" fillId="11" borderId="3" xfId="1" applyFont="1" applyFill="1" applyAlignment="1">
      <alignment horizontal="center" wrapText="1"/>
    </xf>
    <xf numFmtId="0" fontId="9" fillId="11" borderId="3" xfId="1" applyFont="1" applyFill="1" applyAlignment="1">
      <alignment wrapText="1"/>
    </xf>
    <xf numFmtId="0" fontId="9" fillId="10" borderId="3" xfId="1" applyFont="1" applyFill="1" applyAlignment="1">
      <alignment wrapText="1"/>
    </xf>
    <xf numFmtId="1" fontId="9" fillId="10" borderId="3" xfId="1" applyNumberFormat="1" applyFont="1" applyFill="1" applyAlignment="1">
      <alignment wrapText="1"/>
    </xf>
    <xf numFmtId="0" fontId="10" fillId="9" borderId="1" xfId="0" applyFont="1" applyFill="1" applyBorder="1" applyAlignment="1">
      <alignment horizontal="center" wrapText="1"/>
    </xf>
    <xf numFmtId="9" fontId="9" fillId="11" borderId="3" xfId="2" applyFont="1" applyFill="1" applyBorder="1" applyAlignment="1">
      <alignment wrapText="1"/>
    </xf>
    <xf numFmtId="0" fontId="10" fillId="6" borderId="1" xfId="0" applyFont="1" applyFill="1" applyBorder="1" applyAlignment="1">
      <alignment wrapText="1"/>
    </xf>
    <xf numFmtId="0" fontId="10" fillId="6" borderId="1" xfId="0" applyFont="1" applyFill="1" applyBorder="1" applyAlignment="1">
      <alignment horizontal="center" wrapText="1"/>
    </xf>
    <xf numFmtId="0" fontId="9" fillId="6" borderId="1" xfId="0" applyFont="1" applyFill="1" applyBorder="1" applyAlignment="1">
      <alignment wrapText="1"/>
    </xf>
    <xf numFmtId="9" fontId="9" fillId="6" borderId="1" xfId="2" applyFont="1" applyFill="1" applyBorder="1" applyAlignment="1">
      <alignment wrapText="1"/>
    </xf>
    <xf numFmtId="0" fontId="9" fillId="6" borderId="1" xfId="0" applyFont="1" applyFill="1" applyBorder="1" applyAlignment="1">
      <alignment horizontal="center" wrapText="1"/>
    </xf>
    <xf numFmtId="9" fontId="10" fillId="6" borderId="1" xfId="2" applyFont="1" applyFill="1" applyBorder="1" applyAlignment="1">
      <alignment wrapText="1"/>
    </xf>
    <xf numFmtId="0" fontId="2" fillId="3" borderId="1" xfId="0" applyFont="1" applyFill="1" applyBorder="1" applyAlignment="1">
      <alignment wrapText="1"/>
    </xf>
    <xf numFmtId="0" fontId="2" fillId="7" borderId="1" xfId="0" applyFont="1" applyFill="1" applyBorder="1" applyAlignment="1">
      <alignment wrapText="1"/>
    </xf>
    <xf numFmtId="0" fontId="2" fillId="4" borderId="3" xfId="1" applyFont="1" applyAlignment="1">
      <alignment wrapText="1"/>
    </xf>
    <xf numFmtId="0" fontId="2" fillId="11" borderId="3" xfId="1" applyFont="1" applyFill="1" applyAlignment="1">
      <alignment wrapText="1"/>
    </xf>
    <xf numFmtId="0" fontId="1" fillId="8" borderId="1" xfId="0" applyFont="1" applyFill="1" applyBorder="1" applyAlignment="1">
      <alignment wrapText="1"/>
    </xf>
    <xf numFmtId="0" fontId="1" fillId="9" borderId="1" xfId="0" applyFont="1" applyFill="1" applyBorder="1" applyAlignment="1">
      <alignment horizontal="center" wrapText="1"/>
    </xf>
    <xf numFmtId="0" fontId="1" fillId="8" borderId="1" xfId="0" applyFont="1" applyFill="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wrapText="1"/>
    </xf>
    <xf numFmtId="0" fontId="2" fillId="11" borderId="9" xfId="0" applyFont="1" applyFill="1" applyBorder="1" applyAlignment="1">
      <alignment horizontal="center"/>
    </xf>
    <xf numFmtId="0" fontId="2" fillId="11" borderId="8" xfId="1" applyFont="1" applyFill="1" applyBorder="1" applyAlignment="1">
      <alignment wrapText="1"/>
    </xf>
    <xf numFmtId="0" fontId="2" fillId="0" borderId="9" xfId="0" applyFont="1" applyBorder="1" applyAlignment="1">
      <alignment wrapText="1"/>
    </xf>
    <xf numFmtId="0" fontId="2" fillId="3" borderId="9" xfId="0" applyFont="1" applyFill="1" applyBorder="1" applyAlignment="1">
      <alignment wrapText="1"/>
    </xf>
    <xf numFmtId="0" fontId="2" fillId="0" borderId="9" xfId="0" applyFont="1" applyBorder="1" applyAlignment="1">
      <alignment horizontal="center" wrapText="1"/>
    </xf>
    <xf numFmtId="164" fontId="2" fillId="11" borderId="1" xfId="3" applyNumberFormat="1" applyFont="1" applyFill="1" applyBorder="1" applyAlignment="1">
      <alignment horizontal="center"/>
    </xf>
    <xf numFmtId="164" fontId="2" fillId="11" borderId="9" xfId="3" applyNumberFormat="1" applyFont="1" applyFill="1" applyBorder="1" applyAlignment="1">
      <alignment horizontal="center"/>
    </xf>
    <xf numFmtId="164" fontId="2" fillId="6" borderId="1" xfId="3" applyNumberFormat="1" applyFont="1" applyFill="1" applyBorder="1" applyAlignment="1">
      <alignment horizontal="center"/>
    </xf>
    <xf numFmtId="164" fontId="2" fillId="0" borderId="1" xfId="3" applyNumberFormat="1" applyFont="1" applyBorder="1" applyAlignment="1">
      <alignment horizontal="center"/>
    </xf>
    <xf numFmtId="1" fontId="2" fillId="11" borderId="8" xfId="1" applyNumberFormat="1" applyFont="1" applyFill="1" applyBorder="1" applyAlignment="1">
      <alignment horizontal="center" wrapText="1"/>
    </xf>
    <xf numFmtId="1" fontId="2" fillId="0" borderId="9" xfId="0" applyNumberFormat="1" applyFont="1" applyBorder="1" applyAlignment="1">
      <alignment horizontal="center" wrapText="1"/>
    </xf>
    <xf numFmtId="1" fontId="2" fillId="0" borderId="1" xfId="3" applyNumberFormat="1" applyFont="1" applyBorder="1" applyAlignment="1">
      <alignment horizontal="center" wrapText="1"/>
    </xf>
    <xf numFmtId="1" fontId="2" fillId="11" borderId="3" xfId="3" applyNumberFormat="1" applyFont="1" applyFill="1" applyBorder="1" applyAlignment="1">
      <alignment horizontal="center" wrapText="1"/>
    </xf>
    <xf numFmtId="1" fontId="2" fillId="4" borderId="3" xfId="3" applyNumberFormat="1" applyFont="1" applyFill="1" applyBorder="1" applyAlignment="1">
      <alignment horizontal="center" wrapText="1"/>
    </xf>
    <xf numFmtId="1" fontId="2" fillId="6" borderId="1" xfId="3" applyNumberFormat="1" applyFont="1" applyFill="1" applyBorder="1" applyAlignment="1">
      <alignment horizontal="center"/>
    </xf>
    <xf numFmtId="1" fontId="2" fillId="11" borderId="9" xfId="1" applyNumberFormat="1" applyFont="1" applyFill="1" applyBorder="1" applyAlignment="1">
      <alignment horizontal="center"/>
    </xf>
    <xf numFmtId="1" fontId="2" fillId="11" borderId="1" xfId="3" applyNumberFormat="1" applyFont="1" applyFill="1" applyBorder="1" applyAlignment="1">
      <alignment horizontal="center"/>
    </xf>
    <xf numFmtId="1" fontId="2" fillId="11" borderId="8" xfId="3" applyNumberFormat="1" applyFont="1" applyFill="1" applyBorder="1" applyAlignment="1">
      <alignment horizontal="center"/>
    </xf>
    <xf numFmtId="1" fontId="2" fillId="11" borderId="3" xfId="3" applyNumberFormat="1" applyFont="1" applyFill="1" applyBorder="1" applyAlignment="1">
      <alignment horizontal="center"/>
    </xf>
    <xf numFmtId="1" fontId="2" fillId="11" borderId="7" xfId="3" applyNumberFormat="1" applyFont="1" applyFill="1" applyBorder="1" applyAlignment="1">
      <alignment horizontal="center"/>
    </xf>
    <xf numFmtId="1" fontId="2" fillId="4" borderId="6" xfId="3" applyNumberFormat="1" applyFont="1" applyFill="1" applyBorder="1" applyAlignment="1">
      <alignment horizontal="center"/>
    </xf>
    <xf numFmtId="1" fontId="6" fillId="4" borderId="3" xfId="1" applyNumberFormat="1" applyFont="1" applyAlignment="1">
      <alignment vertical="top" wrapText="1"/>
    </xf>
    <xf numFmtId="1" fontId="0" fillId="0" borderId="0" xfId="0" applyNumberFormat="1"/>
    <xf numFmtId="9" fontId="9" fillId="0" borderId="1" xfId="0" applyNumberFormat="1" applyFont="1" applyBorder="1" applyAlignment="1">
      <alignment horizontal="center" wrapText="1"/>
    </xf>
    <xf numFmtId="164" fontId="9" fillId="0" borderId="0" xfId="3" applyNumberFormat="1" applyFont="1" applyAlignment="1"/>
    <xf numFmtId="164" fontId="9" fillId="10" borderId="5" xfId="3" applyNumberFormat="1" applyFont="1" applyFill="1" applyBorder="1" applyAlignment="1">
      <alignment wrapText="1"/>
    </xf>
    <xf numFmtId="164" fontId="9" fillId="10" borderId="3" xfId="3" applyNumberFormat="1" applyFont="1" applyFill="1" applyBorder="1" applyAlignment="1">
      <alignment wrapText="1"/>
    </xf>
    <xf numFmtId="164" fontId="9" fillId="0" borderId="0" xfId="3" applyNumberFormat="1" applyFont="1" applyAlignment="1">
      <alignment horizontal="center"/>
    </xf>
    <xf numFmtId="164" fontId="9" fillId="11" borderId="3" xfId="3" applyNumberFormat="1" applyFont="1" applyFill="1" applyBorder="1" applyAlignment="1">
      <alignment wrapText="1"/>
    </xf>
    <xf numFmtId="0" fontId="8" fillId="0" borderId="0" xfId="0" applyFont="1" applyAlignment="1"/>
    <xf numFmtId="9" fontId="9" fillId="6" borderId="1" xfId="0" applyNumberFormat="1" applyFont="1" applyFill="1" applyBorder="1" applyAlignment="1">
      <alignment horizontal="center" wrapText="1"/>
    </xf>
    <xf numFmtId="1" fontId="2" fillId="6" borderId="1" xfId="0" applyNumberFormat="1" applyFont="1" applyFill="1" applyBorder="1"/>
    <xf numFmtId="0" fontId="1" fillId="6" borderId="0" xfId="0" applyFont="1" applyFill="1" applyAlignment="1">
      <alignment horizontal="center"/>
    </xf>
    <xf numFmtId="0" fontId="0" fillId="0" borderId="0" xfId="0" applyAlignment="1">
      <alignment horizontal="center"/>
    </xf>
    <xf numFmtId="1" fontId="1" fillId="6" borderId="1" xfId="0" applyNumberFormat="1" applyFont="1" applyFill="1" applyBorder="1"/>
    <xf numFmtId="0" fontId="10" fillId="9" borderId="4" xfId="0" applyFont="1" applyFill="1" applyBorder="1" applyAlignment="1">
      <alignment horizontal="left" wrapText="1"/>
    </xf>
    <xf numFmtId="164" fontId="10" fillId="9" borderId="1" xfId="3" applyNumberFormat="1" applyFont="1" applyFill="1" applyBorder="1" applyAlignment="1">
      <alignment horizontal="left" wrapText="1"/>
    </xf>
    <xf numFmtId="0" fontId="10" fillId="9" borderId="1" xfId="0" applyFont="1" applyFill="1" applyBorder="1" applyAlignment="1">
      <alignment horizontal="left" wrapText="1"/>
    </xf>
    <xf numFmtId="164" fontId="10" fillId="9" borderId="2" xfId="3" applyNumberFormat="1" applyFont="1" applyFill="1" applyBorder="1" applyAlignment="1">
      <alignment horizontal="left" wrapText="1"/>
    </xf>
    <xf numFmtId="0" fontId="10" fillId="8" borderId="1" xfId="0" applyFont="1" applyFill="1" applyBorder="1" applyAlignment="1">
      <alignment horizontal="left" wrapText="1"/>
    </xf>
    <xf numFmtId="0" fontId="9" fillId="0" borderId="1" xfId="0" applyFont="1" applyBorder="1" applyAlignment="1">
      <alignment vertical="top" wrapText="1"/>
    </xf>
    <xf numFmtId="0" fontId="9" fillId="12" borderId="1" xfId="0" applyFont="1" applyFill="1" applyBorder="1" applyAlignment="1">
      <alignment vertical="top" wrapText="1"/>
    </xf>
    <xf numFmtId="0" fontId="8" fillId="0" borderId="0" xfId="0" applyFont="1" applyAlignment="1">
      <alignment horizontal="center"/>
    </xf>
    <xf numFmtId="0" fontId="1" fillId="0" borderId="0" xfId="0" applyFont="1" applyAlignment="1">
      <alignment horizontal="center"/>
    </xf>
  </cellXfs>
  <cellStyles count="4">
    <cellStyle name="Calculation" xfId="1" builtinId="22"/>
    <cellStyle name="Comma" xfId="3" builtinId="3"/>
    <cellStyle name="Normal" xfId="0" builtinId="0"/>
    <cellStyle name="Percent" xfId="2" builtin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Sprint</a:t>
            </a:r>
            <a:r>
              <a:rPr lang="en-US" sz="1600" baseline="0"/>
              <a:t> planning</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Chart'!$B$2:$B$6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328193152"/>
        <c:axId val="328194688"/>
      </c:barChart>
      <c:lineChart>
        <c:grouping val="standard"/>
        <c:varyColors val="0"/>
        <c:ser>
          <c:idx val="2"/>
          <c:order val="1"/>
          <c:tx>
            <c:strRef>
              <c:f>'Velocity Chart'!$C$1</c:f>
              <c:strCache>
                <c:ptCount val="1"/>
                <c:pt idx="0">
                  <c:v>Average</c:v>
                </c:pt>
              </c:strCache>
            </c:strRef>
          </c:tx>
          <c:marker>
            <c:symbol val="none"/>
          </c:marker>
          <c:val>
            <c:numRef>
              <c:f>'Velocity Chart'!$C$2:$C$6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Chart'!$D$2:$D$6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Chart'!$E$2:$E$6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328193152"/>
        <c:axId val="328194688"/>
      </c:lineChart>
      <c:catAx>
        <c:axId val="328193152"/>
        <c:scaling>
          <c:orientation val="minMax"/>
        </c:scaling>
        <c:delete val="0"/>
        <c:axPos val="b"/>
        <c:majorTickMark val="out"/>
        <c:minorTickMark val="none"/>
        <c:tickLblPos val="nextTo"/>
        <c:crossAx val="328194688"/>
        <c:crosses val="autoZero"/>
        <c:auto val="1"/>
        <c:lblAlgn val="ctr"/>
        <c:lblOffset val="100"/>
        <c:noMultiLvlLbl val="0"/>
      </c:catAx>
      <c:valAx>
        <c:axId val="328194688"/>
        <c:scaling>
          <c:orientation val="minMax"/>
        </c:scaling>
        <c:delete val="0"/>
        <c:axPos val="l"/>
        <c:majorGridlines/>
        <c:numFmt formatCode="_-* #,##0\ _k_r_-;\-* #,##0\ _k_r_-;_-* &quot;-&quot;??\ _k_r_-;_-@_-" sourceLinked="1"/>
        <c:majorTickMark val="out"/>
        <c:minorTickMark val="none"/>
        <c:tickLblPos val="nextTo"/>
        <c:crossAx val="328193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Original </a:t>
            </a:r>
            <a:r>
              <a:rPr lang="en-US" sz="1600" baseline="0"/>
              <a:t>Estimates</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Chart'!$B$21:$B$25</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328590848"/>
        <c:axId val="328592384"/>
      </c:barChart>
      <c:lineChart>
        <c:grouping val="standard"/>
        <c:varyColors val="0"/>
        <c:ser>
          <c:idx val="2"/>
          <c:order val="1"/>
          <c:tx>
            <c:strRef>
              <c:f>'Velocity Chart'!$C$1</c:f>
              <c:strCache>
                <c:ptCount val="1"/>
                <c:pt idx="0">
                  <c:v>Average</c:v>
                </c:pt>
              </c:strCache>
            </c:strRef>
          </c:tx>
          <c:marker>
            <c:symbol val="none"/>
          </c:marker>
          <c:val>
            <c:numRef>
              <c:f>'Velocity Chart'!$C$21:$C$25</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Chart'!$D$21:$D$25</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Chart'!$E$21:$E$25</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328590848"/>
        <c:axId val="328592384"/>
      </c:lineChart>
      <c:catAx>
        <c:axId val="328590848"/>
        <c:scaling>
          <c:orientation val="minMax"/>
        </c:scaling>
        <c:delete val="0"/>
        <c:axPos val="b"/>
        <c:majorTickMark val="out"/>
        <c:minorTickMark val="none"/>
        <c:tickLblPos val="nextTo"/>
        <c:crossAx val="328592384"/>
        <c:crosses val="autoZero"/>
        <c:auto val="1"/>
        <c:lblAlgn val="ctr"/>
        <c:lblOffset val="100"/>
        <c:noMultiLvlLbl val="0"/>
      </c:catAx>
      <c:valAx>
        <c:axId val="328592384"/>
        <c:scaling>
          <c:orientation val="minMax"/>
        </c:scaling>
        <c:delete val="0"/>
        <c:axPos val="l"/>
        <c:majorGridlines/>
        <c:numFmt formatCode="_-* #,##0\ _k_r_-;\-* #,##0\ _k_r_-;_-* &quot;-&quot;??\ _k_r_-;_-@_-" sourceLinked="1"/>
        <c:majorTickMark val="out"/>
        <c:minorTickMark val="none"/>
        <c:tickLblPos val="nextTo"/>
        <c:crossAx val="3285908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Time Spent</a:t>
            </a:r>
            <a:endParaRPr lang="en-US" sz="1600" baseline="0"/>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Chart'!$B$42:$B$46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329398144"/>
        <c:axId val="329399680"/>
      </c:barChart>
      <c:lineChart>
        <c:grouping val="standard"/>
        <c:varyColors val="0"/>
        <c:ser>
          <c:idx val="2"/>
          <c:order val="1"/>
          <c:tx>
            <c:strRef>
              <c:f>'Velocity Chart'!$C$1</c:f>
              <c:strCache>
                <c:ptCount val="1"/>
                <c:pt idx="0">
                  <c:v>Average</c:v>
                </c:pt>
              </c:strCache>
            </c:strRef>
          </c:tx>
          <c:marker>
            <c:symbol val="none"/>
          </c:marker>
          <c:val>
            <c:numRef>
              <c:f>'Velocity Chart'!$C$42:$C$46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Chart'!$D$42:$D$46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Chart'!$E$42:$E$46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329398144"/>
        <c:axId val="329399680"/>
      </c:lineChart>
      <c:catAx>
        <c:axId val="329398144"/>
        <c:scaling>
          <c:orientation val="minMax"/>
        </c:scaling>
        <c:delete val="0"/>
        <c:axPos val="b"/>
        <c:majorTickMark val="out"/>
        <c:minorTickMark val="none"/>
        <c:tickLblPos val="nextTo"/>
        <c:crossAx val="329399680"/>
        <c:crosses val="autoZero"/>
        <c:auto val="1"/>
        <c:lblAlgn val="ctr"/>
        <c:lblOffset val="100"/>
        <c:noMultiLvlLbl val="0"/>
      </c:catAx>
      <c:valAx>
        <c:axId val="329399680"/>
        <c:scaling>
          <c:orientation val="minMax"/>
        </c:scaling>
        <c:delete val="0"/>
        <c:axPos val="l"/>
        <c:majorGridlines/>
        <c:numFmt formatCode="_-* #,##0\ _k_r_-;\-* #,##0\ _k_r_-;_-* &quot;-&quot;??\ _k_r_-;_-@_-" sourceLinked="1"/>
        <c:majorTickMark val="out"/>
        <c:minorTickMark val="none"/>
        <c:tickLblPos val="nextTo"/>
        <c:crossAx val="3293981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Backlog Burndown Chart</a:t>
            </a:r>
          </a:p>
        </c:rich>
      </c:tx>
      <c:overlay val="0"/>
    </c:title>
    <c:autoTitleDeleted val="0"/>
    <c:plotArea>
      <c:layout/>
      <c:barChart>
        <c:barDir val="col"/>
        <c:grouping val="clustered"/>
        <c:varyColors val="0"/>
        <c:ser>
          <c:idx val="0"/>
          <c:order val="0"/>
          <c:tx>
            <c:strRef>
              <c:f>'Backlog Burndown Chart'!$B$10</c:f>
              <c:strCache>
                <c:ptCount val="1"/>
                <c:pt idx="0">
                  <c:v>Velocity</c:v>
                </c:pt>
              </c:strCache>
            </c:strRef>
          </c:tx>
          <c:invertIfNegative val="0"/>
          <c:dLbls>
            <c:dLblPos val="outEnd"/>
            <c:showLegendKey val="0"/>
            <c:showVal val="1"/>
            <c:showCatName val="0"/>
            <c:showSerName val="0"/>
            <c:showPercent val="0"/>
            <c:showBubbleSize val="0"/>
            <c:showLeaderLines val="0"/>
          </c:dLbls>
          <c:cat>
            <c:numRef>
              <c:f>'Backlog Burndown Chart'!$A$11:$A$16</c:f>
              <c:numCache>
                <c:formatCode>General</c:formatCode>
                <c:ptCount val="6"/>
                <c:pt idx="0">
                  <c:v>0</c:v>
                </c:pt>
                <c:pt idx="1">
                  <c:v>1</c:v>
                </c:pt>
                <c:pt idx="2">
                  <c:v>2</c:v>
                </c:pt>
                <c:pt idx="3">
                  <c:v>3</c:v>
                </c:pt>
                <c:pt idx="4">
                  <c:v>4</c:v>
                </c:pt>
                <c:pt idx="5">
                  <c:v>5</c:v>
                </c:pt>
              </c:numCache>
            </c:numRef>
          </c:cat>
          <c:val>
            <c:numRef>
              <c:f>'Backlog Burndown Chart'!$B$11:$B$16</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329439104"/>
        <c:axId val="329441280"/>
      </c:barChart>
      <c:lineChart>
        <c:grouping val="standard"/>
        <c:varyColors val="0"/>
        <c:ser>
          <c:idx val="1"/>
          <c:order val="1"/>
          <c:tx>
            <c:strRef>
              <c:f>'Backlog Burndown Chart'!$C$10</c:f>
              <c:strCache>
                <c:ptCount val="1"/>
                <c:pt idx="0">
                  <c:v>Remaining Work</c:v>
                </c:pt>
              </c:strCache>
            </c:strRef>
          </c:tx>
          <c:cat>
            <c:numRef>
              <c:f>'Backlog Burndown Chart'!$A$11:$A$16</c:f>
              <c:numCache>
                <c:formatCode>General</c:formatCode>
                <c:ptCount val="6"/>
                <c:pt idx="0">
                  <c:v>0</c:v>
                </c:pt>
                <c:pt idx="1">
                  <c:v>1</c:v>
                </c:pt>
                <c:pt idx="2">
                  <c:v>2</c:v>
                </c:pt>
                <c:pt idx="3">
                  <c:v>3</c:v>
                </c:pt>
                <c:pt idx="4">
                  <c:v>4</c:v>
                </c:pt>
                <c:pt idx="5">
                  <c:v>5</c:v>
                </c:pt>
              </c:numCache>
            </c:numRef>
          </c:cat>
          <c:val>
            <c:numRef>
              <c:f>'Backlog Burndown Chart'!$C$11:$C$16</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329439104"/>
        <c:axId val="329441280"/>
      </c:lineChart>
      <c:catAx>
        <c:axId val="329439104"/>
        <c:scaling>
          <c:orientation val="minMax"/>
        </c:scaling>
        <c:delete val="0"/>
        <c:axPos val="b"/>
        <c:title>
          <c:tx>
            <c:rich>
              <a:bodyPr/>
              <a:lstStyle/>
              <a:p>
                <a:pPr>
                  <a:defRPr/>
                </a:pPr>
                <a:r>
                  <a:rPr lang="sv-SE"/>
                  <a:t>Sprint</a:t>
                </a:r>
                <a:r>
                  <a:rPr lang="sv-SE" baseline="0"/>
                  <a:t> #</a:t>
                </a:r>
                <a:endParaRPr lang="sv-SE"/>
              </a:p>
            </c:rich>
          </c:tx>
          <c:overlay val="0"/>
        </c:title>
        <c:numFmt formatCode="General" sourceLinked="1"/>
        <c:majorTickMark val="out"/>
        <c:minorTickMark val="none"/>
        <c:tickLblPos val="nextTo"/>
        <c:crossAx val="329441280"/>
        <c:crosses val="autoZero"/>
        <c:auto val="1"/>
        <c:lblAlgn val="ctr"/>
        <c:lblOffset val="100"/>
        <c:noMultiLvlLbl val="0"/>
      </c:catAx>
      <c:valAx>
        <c:axId val="329441280"/>
        <c:scaling>
          <c:orientation val="minMax"/>
        </c:scaling>
        <c:delete val="0"/>
        <c:axPos val="l"/>
        <c:majorGridlines/>
        <c:title>
          <c:tx>
            <c:rich>
              <a:bodyPr rot="-5400000" vert="horz"/>
              <a:lstStyle/>
              <a:p>
                <a:pPr>
                  <a:defRPr/>
                </a:pPr>
                <a:r>
                  <a:rPr lang="sv-SE"/>
                  <a:t>Hours</a:t>
                </a:r>
              </a:p>
            </c:rich>
          </c:tx>
          <c:overlay val="0"/>
        </c:title>
        <c:numFmt formatCode="0" sourceLinked="1"/>
        <c:majorTickMark val="out"/>
        <c:minorTickMark val="none"/>
        <c:tickLblPos val="nextTo"/>
        <c:crossAx val="3294391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Sprint</a:t>
            </a:r>
            <a:r>
              <a:rPr lang="sv-SE" baseline="0"/>
              <a:t> Burndown Chart</a:t>
            </a:r>
          </a:p>
        </c:rich>
      </c:tx>
      <c:overlay val="0"/>
    </c:title>
    <c:autoTitleDeleted val="0"/>
    <c:plotArea>
      <c:layout/>
      <c:lineChart>
        <c:grouping val="standard"/>
        <c:varyColors val="0"/>
        <c:ser>
          <c:idx val="0"/>
          <c:order val="0"/>
          <c:tx>
            <c:strRef>
              <c:f>'Sprint Burndown Chart'!$B$7</c:f>
              <c:strCache>
                <c:ptCount val="1"/>
                <c:pt idx="0">
                  <c:v>Sprint 1</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Chart'!$C$7:$H$7</c:f>
              <c:numCache>
                <c:formatCode>0</c:formatCode>
                <c:ptCount val="6"/>
                <c:pt idx="0">
                  <c:v>0</c:v>
                </c:pt>
                <c:pt idx="1">
                  <c:v>0</c:v>
                </c:pt>
                <c:pt idx="2">
                  <c:v>0</c:v>
                </c:pt>
                <c:pt idx="3">
                  <c:v>0</c:v>
                </c:pt>
                <c:pt idx="4">
                  <c:v>0</c:v>
                </c:pt>
                <c:pt idx="5">
                  <c:v>0</c:v>
                </c:pt>
              </c:numCache>
            </c:numRef>
          </c:val>
          <c:smooth val="0"/>
        </c:ser>
        <c:ser>
          <c:idx val="1"/>
          <c:order val="1"/>
          <c:tx>
            <c:strRef>
              <c:f>'Sprint Burndown Chart'!$B$8</c:f>
              <c:strCache>
                <c:ptCount val="1"/>
                <c:pt idx="0">
                  <c:v>Ideal Burndown</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Chart'!$C$8:$H$8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329725824"/>
        <c:axId val="329732096"/>
      </c:lineChart>
      <c:catAx>
        <c:axId val="329725824"/>
        <c:scaling>
          <c:orientation val="minMax"/>
        </c:scaling>
        <c:delete val="0"/>
        <c:axPos val="b"/>
        <c:title>
          <c:tx>
            <c:rich>
              <a:bodyPr/>
              <a:lstStyle/>
              <a:p>
                <a:pPr>
                  <a:defRPr/>
                </a:pPr>
                <a:r>
                  <a:rPr lang="en-US"/>
                  <a:t>Day in sprint</a:t>
                </a:r>
              </a:p>
            </c:rich>
          </c:tx>
          <c:overlay val="0"/>
        </c:title>
        <c:numFmt formatCode="General" sourceLinked="1"/>
        <c:majorTickMark val="none"/>
        <c:minorTickMark val="none"/>
        <c:tickLblPos val="nextTo"/>
        <c:crossAx val="329732096"/>
        <c:crosses val="autoZero"/>
        <c:auto val="1"/>
        <c:lblAlgn val="ctr"/>
        <c:lblOffset val="100"/>
        <c:noMultiLvlLbl val="0"/>
      </c:catAx>
      <c:valAx>
        <c:axId val="329732096"/>
        <c:scaling>
          <c:orientation val="minMax"/>
        </c:scaling>
        <c:delete val="0"/>
        <c:axPos val="l"/>
        <c:majorGridlines/>
        <c:title>
          <c:tx>
            <c:rich>
              <a:bodyPr/>
              <a:lstStyle/>
              <a:p>
                <a:pPr>
                  <a:defRPr/>
                </a:pPr>
                <a:r>
                  <a:rPr lang="sv-SE"/>
                  <a:t>Hours Remaining</a:t>
                </a:r>
              </a:p>
            </c:rich>
          </c:tx>
          <c:overlay val="0"/>
        </c:title>
        <c:numFmt formatCode="0" sourceLinked="1"/>
        <c:majorTickMark val="none"/>
        <c:minorTickMark val="none"/>
        <c:tickLblPos val="nextTo"/>
        <c:crossAx val="329725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1104900</xdr:colOff>
          <xdr:row>2</xdr:row>
          <xdr:rowOff>9525</xdr:rowOff>
        </xdr:from>
        <xdr:to>
          <xdr:col>4</xdr:col>
          <xdr:colOff>0</xdr:colOff>
          <xdr:row>3</xdr:row>
          <xdr:rowOff>133350</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276225</xdr:colOff>
      <xdr:row>1</xdr:row>
      <xdr:rowOff>14287</xdr:rowOff>
    </xdr:from>
    <xdr:to>
      <xdr:col>12</xdr:col>
      <xdr:colOff>581025</xdr:colOff>
      <xdr:row>18</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20</xdr:row>
      <xdr:rowOff>19050</xdr:rowOff>
    </xdr:from>
    <xdr:to>
      <xdr:col>13</xdr:col>
      <xdr:colOff>0</xdr:colOff>
      <xdr:row>37</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39</xdr:row>
      <xdr:rowOff>57150</xdr:rowOff>
    </xdr:from>
    <xdr:to>
      <xdr:col>12</xdr:col>
      <xdr:colOff>590550</xdr:colOff>
      <xdr:row>56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1</xdr:row>
      <xdr:rowOff>0</xdr:rowOff>
    </xdr:from>
    <xdr:to>
      <xdr:col>16</xdr:col>
      <xdr:colOff>133350</xdr:colOff>
      <xdr:row>27</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9</xdr:row>
      <xdr:rowOff>152400</xdr:rowOff>
    </xdr:from>
    <xdr:to>
      <xdr:col>8</xdr:col>
      <xdr:colOff>533400</xdr:colOff>
      <xdr:row>26</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199"/>
  <sheetViews>
    <sheetView tabSelected="1" zoomScale="112" zoomScaleNormal="112" workbookViewId="0">
      <pane xSplit="4" ySplit="5" topLeftCell="O34" activePane="bottomRight" state="frozen"/>
      <selection pane="topRight" activeCell="C1" sqref="C1"/>
      <selection pane="bottomLeft" activeCell="A2" sqref="A2"/>
      <selection pane="bottomRight" activeCell="R34" sqref="R34"/>
    </sheetView>
  </sheetViews>
  <sheetFormatPr defaultColWidth="93.85546875" defaultRowHeight="12.75" x14ac:dyDescent="0.2"/>
  <cols>
    <col min="1" max="1" width="4" style="19" hidden="1" customWidth="1"/>
    <col min="2" max="2" width="8.7109375" style="19" hidden="1" customWidth="1"/>
    <col min="3" max="3" width="11.85546875" style="24" hidden="1" customWidth="1"/>
    <col min="4" max="4" width="43.140625" style="19" customWidth="1"/>
    <col min="5" max="5" width="20.42578125" style="19" hidden="1" customWidth="1"/>
    <col min="6" max="6" width="23.42578125" style="19" customWidth="1"/>
    <col min="7" max="7" width="30.7109375" style="15" customWidth="1"/>
    <col min="8" max="8" width="36" style="15" customWidth="1"/>
    <col min="9" max="9" width="15" style="19" hidden="1" customWidth="1"/>
    <col min="10" max="10" width="8.42578125" style="19" hidden="1" customWidth="1"/>
    <col min="11" max="11" width="18.85546875" style="15" hidden="1" customWidth="1"/>
    <col min="12" max="12" width="25.5703125" style="15" hidden="1" customWidth="1"/>
    <col min="13" max="14" width="15" style="19" customWidth="1"/>
    <col min="15" max="15" width="17.28515625" style="22" customWidth="1"/>
    <col min="16" max="16" width="11.7109375" style="27" hidden="1" customWidth="1"/>
    <col min="17" max="17" width="15" style="19" hidden="1" customWidth="1"/>
    <col min="18" max="18" width="89.28515625" style="19" customWidth="1"/>
    <col min="19" max="19" width="7.28515625" style="19" customWidth="1"/>
    <col min="20" max="20" width="8.7109375" style="19" customWidth="1"/>
    <col min="21" max="21" width="10.28515625" style="19" customWidth="1"/>
    <col min="22" max="22" width="14.7109375" style="24" customWidth="1"/>
    <col min="23" max="24" width="9.42578125" style="78" customWidth="1"/>
    <col min="25" max="25" width="11.42578125" style="78" customWidth="1"/>
    <col min="26" max="26" width="12.7109375" style="78" customWidth="1"/>
    <col min="27" max="27" width="10.5703125" style="24" customWidth="1"/>
    <col min="28" max="28" width="11.140625" style="24" customWidth="1"/>
    <col min="29" max="30" width="20.42578125" style="81" customWidth="1"/>
    <col min="31" max="31" width="20.5703125" style="78" customWidth="1"/>
    <col min="32" max="32" width="12.140625" style="19" customWidth="1"/>
    <col min="33" max="33" width="15.28515625" style="19" customWidth="1"/>
    <col min="34" max="34" width="15.5703125" style="15" customWidth="1"/>
    <col min="35" max="35" width="12.5703125" style="15" customWidth="1"/>
    <col min="36" max="36" width="18" style="15" customWidth="1"/>
    <col min="37" max="37" width="17.42578125" style="15" customWidth="1"/>
    <col min="38" max="38" width="2.5703125" style="25" customWidth="1"/>
    <col min="39" max="39" width="15.7109375" style="15" customWidth="1"/>
    <col min="40" max="40" width="27.140625" style="15" customWidth="1"/>
    <col min="41" max="41" width="22.5703125" style="15" customWidth="1"/>
    <col min="42" max="42" width="36.28515625" style="15" customWidth="1"/>
    <col min="43" max="43" width="93.85546875" customWidth="1"/>
    <col min="44" max="44" width="12.140625" style="15" customWidth="1"/>
    <col min="45" max="45" width="15.42578125" style="15" customWidth="1"/>
    <col min="46" max="16384" width="93.85546875" style="19"/>
  </cols>
  <sheetData>
    <row r="1" spans="1:46" ht="15.75" x14ac:dyDescent="0.25">
      <c r="D1" s="83" t="s">
        <v>78</v>
      </c>
      <c r="F1" s="83"/>
      <c r="G1" s="83"/>
      <c r="I1" s="15"/>
      <c r="J1" s="15"/>
      <c r="M1" s="15"/>
      <c r="N1" s="15"/>
      <c r="O1" s="15"/>
      <c r="P1" s="15"/>
      <c r="Q1" s="15"/>
      <c r="R1" s="15"/>
    </row>
    <row r="2" spans="1:46" x14ac:dyDescent="0.2">
      <c r="D2" s="19" t="s">
        <v>91</v>
      </c>
      <c r="I2" s="15"/>
      <c r="J2" s="15"/>
      <c r="M2" s="15"/>
      <c r="N2" s="15"/>
      <c r="O2" s="15"/>
      <c r="P2" s="15"/>
      <c r="Q2" s="15"/>
      <c r="R2" s="15"/>
    </row>
    <row r="3" spans="1:46" ht="15.75" x14ac:dyDescent="0.25">
      <c r="A3" s="83"/>
      <c r="C3" s="83"/>
      <c r="D3" s="83"/>
      <c r="I3" s="15"/>
      <c r="J3" s="15"/>
      <c r="M3" s="15"/>
      <c r="N3" s="15"/>
      <c r="O3" s="15"/>
      <c r="P3" s="15"/>
      <c r="Q3" s="15"/>
      <c r="R3" s="15"/>
    </row>
    <row r="4" spans="1:46" x14ac:dyDescent="0.2">
      <c r="I4" s="15"/>
      <c r="J4" s="15"/>
      <c r="M4" s="15"/>
      <c r="N4" s="15"/>
      <c r="O4" s="15"/>
      <c r="P4" s="15"/>
      <c r="Q4" s="15"/>
      <c r="R4" s="15"/>
    </row>
    <row r="5" spans="1:46" s="32" customFormat="1" ht="33.75" x14ac:dyDescent="0.2">
      <c r="A5" s="29" t="s">
        <v>0</v>
      </c>
      <c r="B5" s="29" t="s">
        <v>84</v>
      </c>
      <c r="C5" s="93" t="s">
        <v>46</v>
      </c>
      <c r="D5" s="29" t="s">
        <v>47</v>
      </c>
      <c r="E5" s="29" t="s">
        <v>2</v>
      </c>
      <c r="F5" s="29" t="s">
        <v>51</v>
      </c>
      <c r="G5" s="29" t="s">
        <v>52</v>
      </c>
      <c r="H5" s="29" t="s">
        <v>53</v>
      </c>
      <c r="I5" s="29" t="s">
        <v>79</v>
      </c>
      <c r="J5" s="29" t="s">
        <v>81</v>
      </c>
      <c r="K5" s="29" t="s">
        <v>92</v>
      </c>
      <c r="L5" s="29" t="s">
        <v>50</v>
      </c>
      <c r="M5" s="29" t="s">
        <v>287</v>
      </c>
      <c r="N5" s="29" t="s">
        <v>348</v>
      </c>
      <c r="O5" s="29" t="s">
        <v>288</v>
      </c>
      <c r="P5" s="30" t="s">
        <v>24</v>
      </c>
      <c r="Q5" s="29" t="s">
        <v>80</v>
      </c>
      <c r="R5" s="29" t="s">
        <v>351</v>
      </c>
      <c r="S5" s="91" t="s">
        <v>16</v>
      </c>
      <c r="T5" s="91" t="s">
        <v>18</v>
      </c>
      <c r="U5" s="91" t="s">
        <v>17</v>
      </c>
      <c r="V5" s="37" t="s">
        <v>49</v>
      </c>
      <c r="W5" s="92" t="s">
        <v>19</v>
      </c>
      <c r="X5" s="92" t="s">
        <v>90</v>
      </c>
      <c r="Y5" s="90" t="s">
        <v>20</v>
      </c>
      <c r="Z5" s="90" t="s">
        <v>21</v>
      </c>
      <c r="AA5" s="37" t="s">
        <v>55</v>
      </c>
      <c r="AB5" s="37" t="s">
        <v>56</v>
      </c>
      <c r="AC5" s="90" t="s">
        <v>77</v>
      </c>
      <c r="AD5" s="90" t="s">
        <v>86</v>
      </c>
      <c r="AE5" s="90" t="s">
        <v>44</v>
      </c>
      <c r="AF5" s="91" t="s">
        <v>43</v>
      </c>
      <c r="AG5" s="91" t="s">
        <v>54</v>
      </c>
      <c r="AH5" s="89" t="s">
        <v>28</v>
      </c>
      <c r="AI5" s="89" t="s">
        <v>27</v>
      </c>
      <c r="AJ5" s="89" t="s">
        <v>34</v>
      </c>
      <c r="AK5" s="89" t="s">
        <v>35</v>
      </c>
      <c r="AL5" s="31"/>
      <c r="AM5" s="89" t="s">
        <v>1</v>
      </c>
      <c r="AN5" s="89" t="s">
        <v>3</v>
      </c>
      <c r="AO5" s="89" t="s">
        <v>4</v>
      </c>
      <c r="AP5" s="89" t="s">
        <v>8</v>
      </c>
      <c r="AR5" s="89" t="s">
        <v>15</v>
      </c>
      <c r="AS5" s="89" t="s">
        <v>7</v>
      </c>
      <c r="AT5" s="32" t="s">
        <v>159</v>
      </c>
    </row>
    <row r="6" spans="1:46" ht="33.75" x14ac:dyDescent="0.2">
      <c r="A6" s="20"/>
      <c r="B6" s="21"/>
      <c r="C6" s="33">
        <f t="shared" ref="C6:C67" ca="1" si="0">AE6</f>
        <v>0</v>
      </c>
      <c r="D6" s="34" t="s">
        <v>95</v>
      </c>
      <c r="E6" s="21"/>
      <c r="F6" s="21"/>
      <c r="G6" s="22"/>
      <c r="H6" s="22"/>
      <c r="I6" s="21" t="s">
        <v>85</v>
      </c>
      <c r="J6" s="21" t="s">
        <v>83</v>
      </c>
      <c r="K6" s="22"/>
      <c r="L6" s="22"/>
      <c r="M6" s="21"/>
      <c r="N6" s="21"/>
      <c r="P6" s="26"/>
      <c r="Q6" s="21"/>
      <c r="R6" s="28"/>
      <c r="S6" s="22"/>
      <c r="T6" s="22"/>
      <c r="U6" s="22"/>
      <c r="V6" s="77"/>
      <c r="W6" s="79">
        <f t="shared" ref="W6:W67" si="1">(S6+(3*U6)+T6)/5</f>
        <v>0</v>
      </c>
      <c r="X6" s="79">
        <f>IF(W6&gt;32,100,IF(W6&gt;16,32,IF(W6&gt;8,16,IF(W6&gt;4,8,IF(W6&gt;2,4,IF(W6&gt;1,2,IF(W6&gt;0,1,0)))))))</f>
        <v>0</v>
      </c>
      <c r="Y6" s="80">
        <f t="shared" ref="Y6:Y67" si="2">(T6-S6)/5</f>
        <v>0</v>
      </c>
      <c r="Z6" s="80">
        <f t="shared" ref="Z6:Z67" si="3">Y6*Y6</f>
        <v>0</v>
      </c>
      <c r="AA6" s="33">
        <f t="shared" ref="AA6:AA67" si="4">ROUND(W6-(ROUND(SQRT(Z6),0)),0)</f>
        <v>0</v>
      </c>
      <c r="AB6" s="33">
        <f t="shared" ref="AB6:AB67" si="5">ROUND(W6+(ROUND(SQRT(Z6),0)),0)</f>
        <v>0</v>
      </c>
      <c r="AC6" s="82">
        <f ca="1">IF(ROW(W6)=6,W6,W6+OFFSET(AC6,-1,0))</f>
        <v>0</v>
      </c>
      <c r="AD6" s="82">
        <f>SQRT(SUM(Z$6:Z6))</f>
        <v>0</v>
      </c>
      <c r="AE6" s="82">
        <f t="shared" ref="AE6:AE67" ca="1" si="6">AC6+AD6</f>
        <v>0</v>
      </c>
      <c r="AF6" s="38">
        <f t="shared" ref="AF6:AF67" si="7">IFERROR(Y6/W6,0)</f>
        <v>0</v>
      </c>
      <c r="AG6" s="38">
        <f>IFERROR(Z6/SUMIF(V$6:V$68,V6,Z$6:Z$68),0)</f>
        <v>0</v>
      </c>
      <c r="AH6" s="35">
        <f ca="1">IFERROR(IF(VLOOKUP($A6,Tasks!$X$4:$AC$30,COLUMN(Tasks!$Y$4)-COLUMN(Tasks!$X$4)+1,FALSE)&gt;0,1,0),0)</f>
        <v>0</v>
      </c>
      <c r="AI6" s="36">
        <f ca="1">IF(AH6,IFERROR(VLOOKUP($A6,Tasks!$X$4:$AC$30,COLUMN(Tasks!$Y$4)-COLUMN(Tasks!$X$4)+1,FALSE),0),W6)</f>
        <v>0</v>
      </c>
      <c r="AJ6" s="36">
        <f ca="1">IF(AH6,IFERROR(VLOOKUP($A6,Tasks!$X$4:$AC$30,COLUMN(Tasks!$AB$4)-COLUMN(Tasks!$X$4)+1,FALSE),0),AA6)</f>
        <v>0</v>
      </c>
      <c r="AK6" s="36">
        <f ca="1">IF(AH6,IFERROR(VLOOKUP($A6,Tasks!$X$4:$AC$30,COLUMN(Tasks!$AC$4)-COLUMN(Tasks!$X$4)+1,FALSE),0),AB6)</f>
        <v>0</v>
      </c>
      <c r="AL6" s="18"/>
      <c r="AM6" s="22"/>
      <c r="AN6" s="22"/>
      <c r="AO6" s="22" t="s">
        <v>36</v>
      </c>
      <c r="AP6" s="22"/>
      <c r="AR6" s="22"/>
      <c r="AS6" s="23"/>
    </row>
    <row r="7" spans="1:46" s="94" customFormat="1" ht="33.75" x14ac:dyDescent="0.2">
      <c r="D7" s="94" t="str">
        <f>CONCATENATE(Parameters!$B$2,F7,CHAR(10),Parameters!$B$3,G7,CHAR(10),Parameters!$B$4,H7)</f>
        <v xml:space="preserve">GIVEN 
WHEN 
THEN </v>
      </c>
      <c r="M7" s="94" t="s">
        <v>329</v>
      </c>
      <c r="N7" s="94" t="s">
        <v>350</v>
      </c>
      <c r="R7" s="94" t="s">
        <v>344</v>
      </c>
    </row>
    <row r="8" spans="1:46" s="94" customFormat="1" ht="33.75" x14ac:dyDescent="0.2">
      <c r="D8" s="94" t="str">
        <f>CONCATENATE(Parameters!$B$2,F8,CHAR(10),Parameters!$B$3,G8,CHAR(10),Parameters!$B$4,H8)</f>
        <v xml:space="preserve">GIVEN 
WHEN 
THEN </v>
      </c>
      <c r="M8" s="94" t="s">
        <v>329</v>
      </c>
      <c r="N8" s="94" t="s">
        <v>350</v>
      </c>
      <c r="R8" s="94" t="s">
        <v>345</v>
      </c>
    </row>
    <row r="9" spans="1:46" s="94" customFormat="1" ht="33.75" x14ac:dyDescent="0.2">
      <c r="D9" s="94" t="str">
        <f>CONCATENATE(Parameters!$B$2,F9,CHAR(10),Parameters!$B$3,G9,CHAR(10),Parameters!$B$4,H9)</f>
        <v xml:space="preserve">GIVEN 
WHEN 
THEN </v>
      </c>
      <c r="M9" s="94" t="s">
        <v>329</v>
      </c>
      <c r="N9" s="94" t="s">
        <v>369</v>
      </c>
      <c r="R9" s="94" t="s">
        <v>294</v>
      </c>
    </row>
    <row r="10" spans="1:46" s="94" customFormat="1" ht="33.75" x14ac:dyDescent="0.2">
      <c r="D10" s="94" t="str">
        <f>CONCATENATE(Parameters!$B$2,F10,CHAR(10),Parameters!$B$3,G10,CHAR(10),Parameters!$B$4,H10)</f>
        <v xml:space="preserve">GIVEN 
WHEN 
THEN </v>
      </c>
      <c r="M10" s="94" t="s">
        <v>329</v>
      </c>
      <c r="N10" s="94" t="s">
        <v>369</v>
      </c>
      <c r="R10" s="94" t="s">
        <v>342</v>
      </c>
    </row>
    <row r="11" spans="1:46" s="94" customFormat="1" ht="33.75" x14ac:dyDescent="0.2">
      <c r="D11" s="94" t="str">
        <f>CONCATENATE(Parameters!$B$2,F11,CHAR(10),Parameters!$B$3,G11,CHAR(10),Parameters!$B$4,H11)</f>
        <v xml:space="preserve">GIVEN 
WHEN 
THEN </v>
      </c>
      <c r="M11" s="94" t="s">
        <v>329</v>
      </c>
      <c r="N11" s="94" t="s">
        <v>369</v>
      </c>
      <c r="R11" s="94" t="s">
        <v>343</v>
      </c>
    </row>
    <row r="12" spans="1:46" s="94" customFormat="1" ht="33.75" x14ac:dyDescent="0.2">
      <c r="D12" s="94" t="str">
        <f>CONCATENATE(Parameters!$B$2,F12,CHAR(10),Parameters!$B$3,G12,CHAR(10),Parameters!$B$4,H12)</f>
        <v xml:space="preserve">GIVEN 
WHEN 
THEN </v>
      </c>
      <c r="M12" s="94" t="s">
        <v>329</v>
      </c>
      <c r="N12" s="94" t="s">
        <v>369</v>
      </c>
      <c r="R12" s="94" t="s">
        <v>324</v>
      </c>
    </row>
    <row r="13" spans="1:46" s="94" customFormat="1" ht="33.75" x14ac:dyDescent="0.2">
      <c r="D13" s="94" t="str">
        <f>CONCATENATE(Parameters!$B$2,F13,CHAR(10),Parameters!$B$3,G13,CHAR(10),Parameters!$B$4,H13)</f>
        <v xml:space="preserve">GIVEN 
WHEN 
THEN </v>
      </c>
      <c r="M13" s="94" t="s">
        <v>289</v>
      </c>
      <c r="N13" s="94" t="s">
        <v>355</v>
      </c>
      <c r="R13" s="94" t="s">
        <v>325</v>
      </c>
    </row>
    <row r="14" spans="1:46" s="94" customFormat="1" ht="33.75" x14ac:dyDescent="0.2">
      <c r="D14" s="94" t="str">
        <f>CONCATENATE(Parameters!$B$2,F14,CHAR(10),Parameters!$B$3,G14,CHAR(10),Parameters!$B$4,H14)</f>
        <v xml:space="preserve">GIVEN 
WHEN 
THEN </v>
      </c>
      <c r="M14" s="94" t="s">
        <v>289</v>
      </c>
      <c r="N14" s="94" t="s">
        <v>355</v>
      </c>
      <c r="R14" s="94" t="s">
        <v>326</v>
      </c>
    </row>
    <row r="15" spans="1:46" s="94" customFormat="1" ht="33.75" x14ac:dyDescent="0.2">
      <c r="D15" s="94" t="str">
        <f>CONCATENATE(Parameters!$B$2,F15,CHAR(10),Parameters!$B$3,G15,CHAR(10),Parameters!$B$4,H15)</f>
        <v xml:space="preserve">GIVEN 
WHEN 
THEN </v>
      </c>
      <c r="M15" s="94" t="s">
        <v>289</v>
      </c>
      <c r="N15" s="94" t="s">
        <v>355</v>
      </c>
      <c r="R15" s="94" t="s">
        <v>327</v>
      </c>
    </row>
    <row r="16" spans="1:46" s="94" customFormat="1" ht="33.75" x14ac:dyDescent="0.2">
      <c r="D16" s="94" t="str">
        <f>CONCATENATE(Parameters!$B$2,F16,CHAR(10),Parameters!$B$3,G16,CHAR(10),Parameters!$B$4,H16)</f>
        <v xml:space="preserve">GIVEN 
WHEN 
THEN </v>
      </c>
      <c r="M16" s="94" t="s">
        <v>289</v>
      </c>
      <c r="N16" s="94" t="s">
        <v>355</v>
      </c>
      <c r="R16" s="94" t="s">
        <v>328</v>
      </c>
    </row>
    <row r="17" spans="3:41" s="94" customFormat="1" ht="33.75" x14ac:dyDescent="0.2">
      <c r="D17" s="94" t="str">
        <f>CONCATENATE(Parameters!$B$2,F17,CHAR(10),Parameters!$B$3,G17,CHAR(10),Parameters!$B$4,H17)</f>
        <v xml:space="preserve">GIVEN 
WHEN 
THEN </v>
      </c>
      <c r="M17" s="94" t="s">
        <v>289</v>
      </c>
      <c r="N17" s="94" t="s">
        <v>346</v>
      </c>
      <c r="R17" s="94" t="s">
        <v>299</v>
      </c>
    </row>
    <row r="18" spans="3:41" s="94" customFormat="1" ht="33.75" x14ac:dyDescent="0.2">
      <c r="D18" s="94" t="str">
        <f>CONCATENATE(Parameters!$B$2,F18,CHAR(10),Parameters!$B$3,G18,CHAR(10),Parameters!$B$4,H18)</f>
        <v xml:space="preserve">GIVEN 
WHEN 
THEN </v>
      </c>
      <c r="M18" s="94" t="s">
        <v>289</v>
      </c>
      <c r="N18" s="94" t="s">
        <v>346</v>
      </c>
      <c r="R18" s="94" t="s">
        <v>321</v>
      </c>
    </row>
    <row r="19" spans="3:41" s="94" customFormat="1" ht="33.75" x14ac:dyDescent="0.2">
      <c r="D19" s="94" t="str">
        <f>CONCATENATE(Parameters!$B$2,F19,CHAR(10),Parameters!$B$3,G19,CHAR(10),Parameters!$B$4,H19)</f>
        <v xml:space="preserve">GIVEN 
WHEN 
THEN </v>
      </c>
      <c r="M19" s="94" t="s">
        <v>289</v>
      </c>
      <c r="N19" s="94" t="s">
        <v>346</v>
      </c>
      <c r="R19" s="94" t="s">
        <v>322</v>
      </c>
    </row>
    <row r="20" spans="3:41" s="94" customFormat="1" ht="33.75" x14ac:dyDescent="0.2">
      <c r="D20" s="94" t="str">
        <f>CONCATENATE(Parameters!$B$2,F20,CHAR(10),Parameters!$B$3,G20,CHAR(10),Parameters!$B$4,H20)</f>
        <v xml:space="preserve">GIVEN 
WHEN 
THEN </v>
      </c>
      <c r="M20" s="94" t="s">
        <v>289</v>
      </c>
      <c r="N20" s="94" t="s">
        <v>346</v>
      </c>
      <c r="R20" s="94" t="s">
        <v>323</v>
      </c>
    </row>
    <row r="21" spans="3:41" s="94" customFormat="1" ht="78.75" x14ac:dyDescent="0.2">
      <c r="C21" s="94">
        <f ca="1">AE21</f>
        <v>0</v>
      </c>
      <c r="D21" s="94" t="str">
        <f>CONCATENATE(Parameters!$B$2,F21,CHAR(10),Parameters!$B$3,G21,CHAR(10),Parameters!$B$4,H21)</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F21" s="94" t="s">
        <v>272</v>
      </c>
      <c r="G21" s="94" t="s">
        <v>97</v>
      </c>
      <c r="H21" s="94" t="s">
        <v>118</v>
      </c>
      <c r="J21" s="94" t="s">
        <v>83</v>
      </c>
      <c r="M21" s="94" t="s">
        <v>289</v>
      </c>
      <c r="N21" s="94" t="s">
        <v>347</v>
      </c>
      <c r="O21" s="94" t="s">
        <v>243</v>
      </c>
      <c r="R21" s="94" t="s">
        <v>117</v>
      </c>
      <c r="W21" s="94">
        <f>(S21+(3*U21)+T21)/5</f>
        <v>0</v>
      </c>
      <c r="X21" s="94">
        <f>IF(W21&gt;32,100,IF(W21&gt;16,32,IF(W21&gt;8,16,IF(W21&gt;4,8,IF(W21&gt;2,4,IF(W21&gt;1,2,IF(W21&gt;0,1,0)))))))</f>
        <v>0</v>
      </c>
      <c r="Y21" s="94">
        <f>(T21-S21)/5</f>
        <v>0</v>
      </c>
      <c r="Z21" s="94">
        <f>Y21*Y21</f>
        <v>0</v>
      </c>
      <c r="AA21" s="94">
        <f>ROUND(W21-(ROUND(SQRT(Z21),0)),0)</f>
        <v>0</v>
      </c>
      <c r="AB21" s="94">
        <f>ROUND(W21+(ROUND(SQRT(Z21),0)),0)</f>
        <v>0</v>
      </c>
      <c r="AC21" s="94">
        <f ca="1">IF(ROW(W21)=6,W21,W21+OFFSET(AC21,-1,0))</f>
        <v>0</v>
      </c>
      <c r="AD21" s="94">
        <f>SQRT(SUM(Z$6:Z21))</f>
        <v>0</v>
      </c>
      <c r="AE21" s="94">
        <f ca="1">AC21+AD21</f>
        <v>0</v>
      </c>
      <c r="AF21" s="94">
        <f>IFERROR(Y21/W21,0)</f>
        <v>0</v>
      </c>
      <c r="AG21" s="94">
        <f>IFERROR(Z21/SUMIF(V$6:V$68,V21,Z$6:Z$68),0)</f>
        <v>0</v>
      </c>
      <c r="AH21" s="94">
        <f ca="1">IFERROR(IF(VLOOKUP($A21,Tasks!$X$4:$AC$30,COLUMN(Tasks!$Y$4)-COLUMN(Tasks!$X$4)+1,FALSE)&gt;0,1,0),0)</f>
        <v>0</v>
      </c>
      <c r="AI21" s="94">
        <f ca="1">IF(AH21,IFERROR(VLOOKUP($A21,Tasks!$X$4:$AC$30,COLUMN(Tasks!$Y$4)-COLUMN(Tasks!$X$4)+1,FALSE),0),W21)</f>
        <v>0</v>
      </c>
      <c r="AJ21" s="94">
        <f ca="1">IF(AH21,IFERROR(VLOOKUP($A21,Tasks!$X$4:$AC$30,COLUMN(Tasks!$AB$4)-COLUMN(Tasks!$X$4)+1,FALSE),0),AA21)</f>
        <v>0</v>
      </c>
      <c r="AK21" s="94">
        <f ca="1">IF(AH21,IFERROR(VLOOKUP($A21,Tasks!$X$4:$AC$30,COLUMN(Tasks!$AC$4)-COLUMN(Tasks!$X$4)+1,FALSE),0),AB21)</f>
        <v>0</v>
      </c>
      <c r="AO21" s="94" t="s">
        <v>36</v>
      </c>
    </row>
    <row r="22" spans="3:41" s="94" customFormat="1" ht="33.75" x14ac:dyDescent="0.2">
      <c r="D22" s="94" t="str">
        <f>CONCATENATE(Parameters!$B$2,F22,CHAR(10),Parameters!$B$3,G22,CHAR(10),Parameters!$B$4,H22)</f>
        <v xml:space="preserve">GIVEN 
WHEN 
THEN </v>
      </c>
      <c r="M22" s="94" t="s">
        <v>289</v>
      </c>
      <c r="N22" s="94" t="s">
        <v>347</v>
      </c>
      <c r="O22" s="94" t="s">
        <v>243</v>
      </c>
      <c r="R22" s="94" t="s">
        <v>296</v>
      </c>
    </row>
    <row r="23" spans="3:41" s="94" customFormat="1" ht="33.75" x14ac:dyDescent="0.2">
      <c r="D23" s="94" t="str">
        <f>CONCATENATE(Parameters!$B$2,F23,CHAR(10),Parameters!$B$3,G23,CHAR(10),Parameters!$B$4,H23)</f>
        <v xml:space="preserve">GIVEN 
WHEN 
THEN </v>
      </c>
      <c r="M23" s="94" t="s">
        <v>289</v>
      </c>
      <c r="N23" s="94" t="s">
        <v>347</v>
      </c>
      <c r="O23" s="94" t="s">
        <v>243</v>
      </c>
      <c r="R23" s="94" t="s">
        <v>314</v>
      </c>
    </row>
    <row r="24" spans="3:41" s="94" customFormat="1" ht="33.75" x14ac:dyDescent="0.2">
      <c r="D24" s="94" t="str">
        <f>CONCATENATE(Parameters!$B$2,F24,CHAR(10),Parameters!$B$3,G24,CHAR(10),Parameters!$B$4,H24)</f>
        <v xml:space="preserve">GIVEN 
WHEN 
THEN </v>
      </c>
      <c r="M24" s="94" t="s">
        <v>289</v>
      </c>
      <c r="N24" s="94" t="s">
        <v>347</v>
      </c>
      <c r="O24" s="94" t="s">
        <v>243</v>
      </c>
      <c r="R24" s="94" t="s">
        <v>315</v>
      </c>
    </row>
    <row r="25" spans="3:41" s="94" customFormat="1" ht="33.75" x14ac:dyDescent="0.2">
      <c r="D25" s="94" t="str">
        <f>CONCATENATE(Parameters!$B$2,F25,CHAR(10),Parameters!$B$3,G25,CHAR(10),Parameters!$B$4,H25)</f>
        <v xml:space="preserve">GIVEN 
WHEN 
THEN </v>
      </c>
      <c r="M25" s="94" t="s">
        <v>289</v>
      </c>
      <c r="N25" s="94" t="s">
        <v>347</v>
      </c>
      <c r="O25" s="94" t="s">
        <v>243</v>
      </c>
      <c r="R25" s="94" t="s">
        <v>316</v>
      </c>
    </row>
    <row r="26" spans="3:41" s="94" customFormat="1" ht="33.75" x14ac:dyDescent="0.2">
      <c r="D26" s="94" t="str">
        <f>CONCATENATE(Parameters!$B$2,F26,CHAR(10),Parameters!$B$3,G26,CHAR(10),Parameters!$B$4,H26)</f>
        <v xml:space="preserve">GIVEN 
WHEN 
THEN </v>
      </c>
      <c r="M26" s="94" t="s">
        <v>289</v>
      </c>
      <c r="N26" s="94" t="s">
        <v>347</v>
      </c>
      <c r="O26" s="94" t="s">
        <v>298</v>
      </c>
      <c r="R26" s="94" t="s">
        <v>297</v>
      </c>
    </row>
    <row r="27" spans="3:41" s="94" customFormat="1" ht="33.75" x14ac:dyDescent="0.2">
      <c r="D27" s="94" t="str">
        <f>CONCATENATE(Parameters!$B$2,F27,CHAR(10),Parameters!$B$3,G27,CHAR(10),Parameters!$B$4,H27)</f>
        <v xml:space="preserve">GIVEN 
WHEN 
THEN </v>
      </c>
      <c r="M27" s="94" t="s">
        <v>289</v>
      </c>
      <c r="N27" s="94" t="s">
        <v>347</v>
      </c>
      <c r="O27" s="94" t="s">
        <v>298</v>
      </c>
      <c r="R27" s="94" t="s">
        <v>317</v>
      </c>
    </row>
    <row r="28" spans="3:41" s="94" customFormat="1" ht="33.75" x14ac:dyDescent="0.2">
      <c r="D28" s="94" t="str">
        <f>CONCATENATE(Parameters!$B$2,F28,CHAR(10),Parameters!$B$3,G28,CHAR(10),Parameters!$B$4,H28)</f>
        <v xml:space="preserve">GIVEN 
WHEN 
THEN </v>
      </c>
      <c r="M28" s="94" t="s">
        <v>289</v>
      </c>
      <c r="N28" s="94" t="s">
        <v>347</v>
      </c>
      <c r="O28" s="94" t="s">
        <v>298</v>
      </c>
      <c r="R28" s="94" t="s">
        <v>318</v>
      </c>
    </row>
    <row r="29" spans="3:41" s="94" customFormat="1" ht="33.75" x14ac:dyDescent="0.2">
      <c r="D29" s="94" t="str">
        <f>CONCATENATE(Parameters!$B$2,F29,CHAR(10),Parameters!$B$3,G29,CHAR(10),Parameters!$B$4,H29)</f>
        <v xml:space="preserve">GIVEN 
WHEN 
THEN </v>
      </c>
      <c r="M29" s="94" t="s">
        <v>289</v>
      </c>
      <c r="N29" s="94" t="s">
        <v>347</v>
      </c>
      <c r="O29" s="94" t="s">
        <v>298</v>
      </c>
      <c r="R29" s="94" t="s">
        <v>319</v>
      </c>
    </row>
    <row r="30" spans="3:41" s="94" customFormat="1" ht="77.25" customHeight="1" x14ac:dyDescent="0.2">
      <c r="C30" s="94">
        <f t="shared" ref="C30:C37" ca="1" si="8">AE30</f>
        <v>0</v>
      </c>
      <c r="D30" s="94" t="str">
        <f>CONCATENATE(Parameters!$B$2,F30,CHAR(10),Parameters!$B$3,G30,CHAR(10),Parameters!$B$4,H30)</f>
        <v>GIVEN logged in as Master Editor to the system
WHEN When updating a test case creating a new version
THEN You should be able to address owners of custom test sequence about the change through the system. Be able to send out a  notice or similar.</v>
      </c>
      <c r="E30" s="94" t="s">
        <v>104</v>
      </c>
      <c r="F30" s="94" t="s">
        <v>273</v>
      </c>
      <c r="G30" s="94" t="s">
        <v>108</v>
      </c>
      <c r="H30" s="94" t="s">
        <v>122</v>
      </c>
      <c r="J30" s="94" t="s">
        <v>83</v>
      </c>
      <c r="M30" s="94" t="s">
        <v>289</v>
      </c>
      <c r="N30" s="94" t="s">
        <v>347</v>
      </c>
      <c r="O30" s="94" t="s">
        <v>246</v>
      </c>
      <c r="R30" s="94" t="s">
        <v>125</v>
      </c>
      <c r="W30" s="94">
        <f>(S30+(3*U30)+T30)/5</f>
        <v>0</v>
      </c>
      <c r="X30" s="94">
        <f>IF(W30&gt;32,100,IF(W30&gt;16,32,IF(W30&gt;8,16,IF(W30&gt;4,8,IF(W30&gt;2,4,IF(W30&gt;1,2,IF(W30&gt;0,1,0)))))))</f>
        <v>0</v>
      </c>
      <c r="Y30" s="94">
        <f>(T30-S30)/5</f>
        <v>0</v>
      </c>
      <c r="Z30" s="94">
        <f>Y30*Y30</f>
        <v>0</v>
      </c>
      <c r="AA30" s="94">
        <f t="shared" ref="AA30:AA37" si="9">ROUND(W30-(ROUND(SQRT(Z30),0)),0)</f>
        <v>0</v>
      </c>
      <c r="AB30" s="94">
        <f t="shared" ref="AB30:AB37" si="10">ROUND(W30+(ROUND(SQRT(Z30),0)),0)</f>
        <v>0</v>
      </c>
      <c r="AC30" s="94">
        <f ca="1">IF(ROW(W30)=6,W30,W30+OFFSET(AC30,-1,0))</f>
        <v>0</v>
      </c>
      <c r="AD30" s="94">
        <f>SQRT(SUM(Z$6:Z63))</f>
        <v>0</v>
      </c>
      <c r="AE30" s="94">
        <f ca="1">AC30+AD30</f>
        <v>0</v>
      </c>
      <c r="AF30" s="94">
        <f t="shared" ref="AF30:AF37" si="11">IFERROR(Y30/W30,0)</f>
        <v>0</v>
      </c>
      <c r="AG30" s="94">
        <f t="shared" ref="AG30:AG47" si="12">IFERROR(Z30/SUMIF(V$6:V$68,V30,Z$6:Z$68),0)</f>
        <v>0</v>
      </c>
      <c r="AH30" s="94">
        <f ca="1">IFERROR(IF(VLOOKUP($A30,Tasks!$X$4:$AC$30,COLUMN(Tasks!$Y$4)-COLUMN(Tasks!$X$4)+1,FALSE)&gt;0,1,0),0)</f>
        <v>0</v>
      </c>
      <c r="AI30" s="94">
        <f ca="1">IF(AH30,IFERROR(VLOOKUP($A30,Tasks!$X$4:$AC$30,COLUMN(Tasks!$Y$4)-COLUMN(Tasks!$X$4)+1,FALSE),0),W30)</f>
        <v>0</v>
      </c>
      <c r="AJ30" s="94">
        <f ca="1">IF(AH30,IFERROR(VLOOKUP($A30,Tasks!$X$4:$AC$30,COLUMN(Tasks!$AB$4)-COLUMN(Tasks!$X$4)+1,FALSE),0),AA30)</f>
        <v>0</v>
      </c>
      <c r="AK30" s="94">
        <f ca="1">IF(AH30,IFERROR(VLOOKUP($A30,Tasks!$X$4:$AC$30,COLUMN(Tasks!$AC$4)-COLUMN(Tasks!$X$4)+1,FALSE),0),AB30)</f>
        <v>0</v>
      </c>
      <c r="AO30" s="94" t="s">
        <v>36</v>
      </c>
    </row>
    <row r="31" spans="3:41" s="94" customFormat="1" ht="90" x14ac:dyDescent="0.2">
      <c r="C31" s="94">
        <f t="shared" ca="1" si="8"/>
        <v>0</v>
      </c>
      <c r="D31" s="94" t="str">
        <f>CONCATENATE(Parameters!$B$2,F31,CHAR(10),Parameters!$B$3,G31,CHAR(10),Parameters!$B$4,H31)</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E31" s="94" t="s">
        <v>155</v>
      </c>
      <c r="F31" s="94" t="s">
        <v>269</v>
      </c>
      <c r="G31" s="94" t="s">
        <v>138</v>
      </c>
      <c r="H31" s="94" t="s">
        <v>139</v>
      </c>
      <c r="J31" s="94" t="s">
        <v>83</v>
      </c>
      <c r="M31" s="94" t="s">
        <v>289</v>
      </c>
      <c r="N31" s="94" t="s">
        <v>347</v>
      </c>
      <c r="O31" s="94" t="s">
        <v>246</v>
      </c>
      <c r="R31" s="94" t="s">
        <v>137</v>
      </c>
      <c r="W31" s="94">
        <f>(S31+(3*U31)+T31)/5</f>
        <v>0</v>
      </c>
      <c r="X31" s="94">
        <f>IF(W31&gt;32,100,IF(W31&gt;16,32,IF(W31&gt;8,16,IF(W31&gt;4,8,IF(W31&gt;2,4,IF(W31&gt;1,2,IF(W31&gt;0,1,0)))))))</f>
        <v>0</v>
      </c>
      <c r="Y31" s="94">
        <f>(T31-S31)/5</f>
        <v>0</v>
      </c>
      <c r="Z31" s="94">
        <f>Y31*Y31</f>
        <v>0</v>
      </c>
      <c r="AA31" s="94">
        <f t="shared" si="9"/>
        <v>0</v>
      </c>
      <c r="AB31" s="94">
        <f t="shared" si="10"/>
        <v>0</v>
      </c>
      <c r="AC31" s="94">
        <f ca="1">IF(ROW(W31)=6,W31,W31+OFFSET(AC31,-1,0))</f>
        <v>0</v>
      </c>
      <c r="AD31" s="94">
        <f>SQRT(SUM(Z$6:Z68))</f>
        <v>0</v>
      </c>
      <c r="AE31" s="94">
        <f ca="1">AC31+AD31</f>
        <v>0</v>
      </c>
      <c r="AF31" s="94">
        <f t="shared" si="11"/>
        <v>0</v>
      </c>
      <c r="AG31" s="94">
        <f t="shared" si="12"/>
        <v>0</v>
      </c>
      <c r="AH31" s="94">
        <f ca="1">IFERROR(IF(VLOOKUP($A31,Tasks!$X$4:$AC$30,COLUMN(Tasks!$Y$4)-COLUMN(Tasks!$X$4)+1,FALSE)&gt;0,1,0),0)</f>
        <v>0</v>
      </c>
      <c r="AI31" s="94">
        <f ca="1">IF(AH31,IFERROR(VLOOKUP($A31,Tasks!$X$4:$AC$30,COLUMN(Tasks!$Y$4)-COLUMN(Tasks!$X$4)+1,FALSE),0),W31)</f>
        <v>0</v>
      </c>
      <c r="AJ31" s="94">
        <f ca="1">IF(AH31,IFERROR(VLOOKUP($A31,Tasks!$X$4:$AC$30,COLUMN(Tasks!$AB$4)-COLUMN(Tasks!$X$4)+1,FALSE),0),AA31)</f>
        <v>0</v>
      </c>
      <c r="AK31" s="94">
        <f ca="1">IF(AH31,IFERROR(VLOOKUP($A31,Tasks!$X$4:$AC$30,COLUMN(Tasks!$AC$4)-COLUMN(Tasks!$X$4)+1,FALSE),0),AB31)</f>
        <v>0</v>
      </c>
      <c r="AO31" s="94" t="s">
        <v>36</v>
      </c>
    </row>
    <row r="32" spans="3:41" s="94" customFormat="1" ht="56.25" x14ac:dyDescent="0.2">
      <c r="C32" s="94">
        <f t="shared" ca="1" si="8"/>
        <v>0</v>
      </c>
      <c r="D32" s="94" t="str">
        <f>CONCATENATE(Parameters!$B$2,F32,CHAR(10),Parameters!$B$3,G32,CHAR(10),Parameters!$B$4,H32)</f>
        <v>GIVEN logged in as Test Engineer to the system
WHEN creating test sequences they should be easily accessed
THEN I will easily find sequences and will be able to use them.</v>
      </c>
      <c r="F32" s="94" t="s">
        <v>269</v>
      </c>
      <c r="G32" s="94" t="s">
        <v>214</v>
      </c>
      <c r="H32" s="94" t="s">
        <v>215</v>
      </c>
      <c r="J32" s="94" t="s">
        <v>83</v>
      </c>
      <c r="M32" s="94" t="s">
        <v>289</v>
      </c>
      <c r="N32" s="94" t="s">
        <v>347</v>
      </c>
      <c r="O32" s="94" t="s">
        <v>246</v>
      </c>
      <c r="R32" s="94" t="s">
        <v>144</v>
      </c>
      <c r="W32" s="94">
        <f>(S32+(3*U32)+T32)/5</f>
        <v>0</v>
      </c>
      <c r="X32" s="94">
        <f>IF(W32&gt;32,100,IF(W32&gt;16,32,IF(W32&gt;8,16,IF(W32&gt;4,8,IF(W32&gt;2,4,IF(W32&gt;1,2,IF(W32&gt;0,1,0)))))))</f>
        <v>0</v>
      </c>
      <c r="Y32" s="94">
        <f>(T32-S32)/5</f>
        <v>0</v>
      </c>
      <c r="Z32" s="94">
        <f>Y32*Y32</f>
        <v>0</v>
      </c>
      <c r="AA32" s="94">
        <f t="shared" si="9"/>
        <v>0</v>
      </c>
      <c r="AB32" s="94">
        <f t="shared" si="10"/>
        <v>0</v>
      </c>
      <c r="AC32" s="94">
        <f ca="1">IF(ROW(W32)=6,W32,W32+OFFSET(AC32,-1,0))</f>
        <v>0</v>
      </c>
      <c r="AD32" s="94">
        <f>SQRT(SUM(Z$6:Z68))</f>
        <v>0</v>
      </c>
      <c r="AE32" s="94">
        <f ca="1">AC32+AD32</f>
        <v>0</v>
      </c>
      <c r="AF32" s="94">
        <f t="shared" si="11"/>
        <v>0</v>
      </c>
      <c r="AG32" s="94">
        <f t="shared" si="12"/>
        <v>0</v>
      </c>
      <c r="AH32" s="94">
        <f ca="1">IFERROR(IF(VLOOKUP($A32,Tasks!$X$4:$AC$30,COLUMN(Tasks!$Y$4)-COLUMN(Tasks!$X$4)+1,FALSE)&gt;0,1,0),0)</f>
        <v>0</v>
      </c>
      <c r="AI32" s="94">
        <f ca="1">IF(AH32,IFERROR(VLOOKUP($A32,Tasks!$X$4:$AC$30,COLUMN(Tasks!$Y$4)-COLUMN(Tasks!$X$4)+1,FALSE),0),W32)</f>
        <v>0</v>
      </c>
      <c r="AJ32" s="94">
        <f ca="1">IF(AH32,IFERROR(VLOOKUP($A32,Tasks!$X$4:$AC$30,COLUMN(Tasks!$AB$4)-COLUMN(Tasks!$X$4)+1,FALSE),0),AA32)</f>
        <v>0</v>
      </c>
      <c r="AK32" s="94">
        <f ca="1">IF(AH32,IFERROR(VLOOKUP($A32,Tasks!$X$4:$AC$30,COLUMN(Tasks!$AC$4)-COLUMN(Tasks!$X$4)+1,FALSE),0),AB32)</f>
        <v>0</v>
      </c>
      <c r="AO32" s="94" t="s">
        <v>36</v>
      </c>
    </row>
    <row r="33" spans="3:41" s="94" customFormat="1" ht="33.75" x14ac:dyDescent="0.2">
      <c r="C33" s="94">
        <f t="shared" si="8"/>
        <v>0</v>
      </c>
      <c r="D33" s="94" t="str">
        <f>CONCATENATE(Parameters!$B$2,F33,CHAR(10),Parameters!$B$3,G33,CHAR(10),Parameters!$B$4,H33)</f>
        <v xml:space="preserve">GIVEN logged in as Test Engineer to the system
WHEN HUR SKALL DETTA FUNKA?
THEN </v>
      </c>
      <c r="E33" s="94" t="s">
        <v>155</v>
      </c>
      <c r="F33" s="94" t="s">
        <v>269</v>
      </c>
      <c r="G33" s="94" t="s">
        <v>222</v>
      </c>
      <c r="M33" s="94" t="s">
        <v>289</v>
      </c>
      <c r="N33" s="94" t="s">
        <v>347</v>
      </c>
      <c r="O33" s="94" t="s">
        <v>246</v>
      </c>
      <c r="R33" s="94" t="s">
        <v>219</v>
      </c>
      <c r="AA33" s="94">
        <f t="shared" si="9"/>
        <v>0</v>
      </c>
      <c r="AB33" s="94">
        <f t="shared" si="10"/>
        <v>0</v>
      </c>
      <c r="AF33" s="94">
        <f t="shared" si="11"/>
        <v>0</v>
      </c>
      <c r="AG33" s="94">
        <f t="shared" si="12"/>
        <v>0</v>
      </c>
      <c r="AO33" s="94" t="s">
        <v>36</v>
      </c>
    </row>
    <row r="34" spans="3:41" s="94" customFormat="1" ht="225" x14ac:dyDescent="0.2">
      <c r="C34" s="94">
        <f t="shared" ca="1" si="8"/>
        <v>0</v>
      </c>
      <c r="D34" s="94" t="str">
        <f>CONCATENATE(Parameters!$B$2,F34,CHAR(10),Parameters!$B$3,G34,CHAR(10),Parameters!$B$4,H34)</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F34" s="94" t="s">
        <v>272</v>
      </c>
      <c r="G34" s="94" t="s">
        <v>98</v>
      </c>
      <c r="H34" s="94" t="s">
        <v>240</v>
      </c>
      <c r="J34" s="94" t="s">
        <v>83</v>
      </c>
      <c r="L34" s="94" t="s">
        <v>119</v>
      </c>
      <c r="M34" s="94" t="s">
        <v>289</v>
      </c>
      <c r="N34" s="94" t="s">
        <v>349</v>
      </c>
      <c r="O34" s="94" t="s">
        <v>244</v>
      </c>
      <c r="W34" s="94">
        <f>(S34+(3*U34)+T34)/5</f>
        <v>0</v>
      </c>
      <c r="X34" s="94">
        <f>IF(W34&gt;32,100,IF(W34&gt;16,32,IF(W34&gt;8,16,IF(W34&gt;4,8,IF(W34&gt;2,4,IF(W34&gt;1,2,IF(W34&gt;0,1,0)))))))</f>
        <v>0</v>
      </c>
      <c r="Y34" s="94">
        <f>(T34-S34)/5</f>
        <v>0</v>
      </c>
      <c r="Z34" s="94">
        <f>Y34*Y34</f>
        <v>0</v>
      </c>
      <c r="AA34" s="94">
        <f t="shared" si="9"/>
        <v>0</v>
      </c>
      <c r="AB34" s="94">
        <f t="shared" si="10"/>
        <v>0</v>
      </c>
      <c r="AC34" s="94">
        <f ca="1">IF(ROW(W34)=6,W34,W34+OFFSET(AC34,-1,0))</f>
        <v>0</v>
      </c>
      <c r="AD34" s="94">
        <f>SQRT(SUM(Z$6:Z34))</f>
        <v>0</v>
      </c>
      <c r="AE34" s="94">
        <f ca="1">AC34+AD34</f>
        <v>0</v>
      </c>
      <c r="AF34" s="94">
        <f t="shared" si="11"/>
        <v>0</v>
      </c>
      <c r="AG34" s="94">
        <f t="shared" si="12"/>
        <v>0</v>
      </c>
      <c r="AH34" s="94">
        <f ca="1">IFERROR(IF(VLOOKUP($A34,Tasks!$X$4:$AC$30,COLUMN(Tasks!$Y$4)-COLUMN(Tasks!$X$4)+1,FALSE)&gt;0,1,0),0)</f>
        <v>0</v>
      </c>
      <c r="AI34" s="94">
        <f ca="1">IF(AH34,IFERROR(VLOOKUP($A34,Tasks!$X$4:$AC$30,COLUMN(Tasks!$Y$4)-COLUMN(Tasks!$X$4)+1,FALSE),0),W34)</f>
        <v>0</v>
      </c>
      <c r="AJ34" s="94">
        <f ca="1">IF(AH34,IFERROR(VLOOKUP($A34,Tasks!$X$4:$AC$30,COLUMN(Tasks!$AB$4)-COLUMN(Tasks!$X$4)+1,FALSE),0),AA34)</f>
        <v>0</v>
      </c>
      <c r="AK34" s="94">
        <f ca="1">IF(AH34,IFERROR(VLOOKUP($A34,Tasks!$X$4:$AC$30,COLUMN(Tasks!$AC$4)-COLUMN(Tasks!$X$4)+1,FALSE),0),AB34)</f>
        <v>0</v>
      </c>
      <c r="AO34" s="94" t="s">
        <v>36</v>
      </c>
    </row>
    <row r="35" spans="3:41" s="94" customFormat="1" ht="72" customHeight="1" x14ac:dyDescent="0.2">
      <c r="C35" s="94">
        <f t="shared" ca="1" si="8"/>
        <v>0</v>
      </c>
      <c r="D35" s="94" t="str">
        <f>CONCATENATE(Parameters!$B$2,F35,CHAR(10),Parameters!$B$3,G35,CHAR(10),Parameters!$B$4,H35)</f>
        <v xml:space="preserve">GIVEN logged in to the system as 
Test Lead, Master editor, Local editor
WHEN chosing to edit a test case
THEN You should be able to edit data and save the test case.
Test case will get a new version.
The change will be logged (who and when).
</v>
      </c>
      <c r="F35" s="94" t="s">
        <v>272</v>
      </c>
      <c r="G35" s="94" t="s">
        <v>99</v>
      </c>
      <c r="H35" s="94" t="s">
        <v>241</v>
      </c>
      <c r="J35" s="94" t="s">
        <v>83</v>
      </c>
      <c r="L35" s="94" t="s">
        <v>100</v>
      </c>
      <c r="M35" s="94" t="s">
        <v>289</v>
      </c>
      <c r="N35" s="94" t="s">
        <v>349</v>
      </c>
      <c r="O35" s="94" t="s">
        <v>244</v>
      </c>
      <c r="W35" s="94">
        <f>(S35+(3*U35)+T35)/5</f>
        <v>0</v>
      </c>
      <c r="X35" s="94">
        <f>IF(W35&gt;32,100,IF(W35&gt;16,32,IF(W35&gt;8,16,IF(W35&gt;4,8,IF(W35&gt;2,4,IF(W35&gt;1,2,IF(W35&gt;0,1,0)))))))</f>
        <v>0</v>
      </c>
      <c r="Y35" s="94">
        <f>(T35-S35)/5</f>
        <v>0</v>
      </c>
      <c r="Z35" s="94">
        <f>Y35*Y35</f>
        <v>0</v>
      </c>
      <c r="AA35" s="94">
        <f t="shared" si="9"/>
        <v>0</v>
      </c>
      <c r="AB35" s="94">
        <f t="shared" si="10"/>
        <v>0</v>
      </c>
      <c r="AC35" s="94">
        <f ca="1">IF(ROW(W35)=6,W35,W35+OFFSET(AC35,-1,0))</f>
        <v>0</v>
      </c>
      <c r="AD35" s="94">
        <f>SQRT(SUM(Z$6:Z21))</f>
        <v>0</v>
      </c>
      <c r="AE35" s="94">
        <f ca="1">AC35+AD35</f>
        <v>0</v>
      </c>
      <c r="AF35" s="94">
        <f t="shared" si="11"/>
        <v>0</v>
      </c>
      <c r="AG35" s="94">
        <f t="shared" si="12"/>
        <v>0</v>
      </c>
      <c r="AH35" s="94">
        <f ca="1">IFERROR(IF(VLOOKUP($A35,Tasks!$X$4:$AC$30,COLUMN(Tasks!$Y$4)-COLUMN(Tasks!$X$4)+1,FALSE)&gt;0,1,0),0)</f>
        <v>0</v>
      </c>
      <c r="AI35" s="94">
        <f ca="1">IF(AH35,IFERROR(VLOOKUP($A35,Tasks!$X$4:$AC$30,COLUMN(Tasks!$Y$4)-COLUMN(Tasks!$X$4)+1,FALSE),0),W35)</f>
        <v>0</v>
      </c>
      <c r="AJ35" s="94">
        <f ca="1">IF(AH35,IFERROR(VLOOKUP($A35,Tasks!$X$4:$AC$30,COLUMN(Tasks!$AB$4)-COLUMN(Tasks!$X$4)+1,FALSE),0),AA35)</f>
        <v>0</v>
      </c>
      <c r="AK35" s="94">
        <f ca="1">IF(AH35,IFERROR(VLOOKUP($A35,Tasks!$X$4:$AC$30,COLUMN(Tasks!$AC$4)-COLUMN(Tasks!$X$4)+1,FALSE),0),AB35)</f>
        <v>0</v>
      </c>
      <c r="AO35" s="94" t="s">
        <v>36</v>
      </c>
    </row>
    <row r="36" spans="3:41" s="94" customFormat="1" ht="45" x14ac:dyDescent="0.2">
      <c r="C36" s="94">
        <f t="shared" ca="1" si="8"/>
        <v>0</v>
      </c>
      <c r="D36" s="94" t="str">
        <f>CONCATENATE(Parameters!$B$2,F36,CHAR(10),Parameters!$B$3,G36,CHAR(10),Parameters!$B$4,H36)</f>
        <v>GIVEN logged in to the system
WHEN chosing to view a test case
THEN You should be able to see the data connected to the test case</v>
      </c>
      <c r="F36" s="94" t="s">
        <v>267</v>
      </c>
      <c r="G36" s="94" t="s">
        <v>102</v>
      </c>
      <c r="H36" s="94" t="s">
        <v>101</v>
      </c>
      <c r="J36" s="94" t="s">
        <v>83</v>
      </c>
      <c r="L36" s="94" t="s">
        <v>103</v>
      </c>
      <c r="M36" s="94" t="s">
        <v>289</v>
      </c>
      <c r="N36" s="94" t="s">
        <v>349</v>
      </c>
      <c r="O36" s="94" t="s">
        <v>244</v>
      </c>
      <c r="W36" s="94">
        <f>(S36+(3*U36)+T36)/5</f>
        <v>0</v>
      </c>
      <c r="X36" s="94">
        <f>IF(W36&gt;32,100,IF(W36&gt;16,32,IF(W36&gt;8,16,IF(W36&gt;4,8,IF(W36&gt;2,4,IF(W36&gt;1,2,IF(W36&gt;0,1,0)))))))</f>
        <v>0</v>
      </c>
      <c r="Y36" s="94">
        <f>(T36-S36)/5</f>
        <v>0</v>
      </c>
      <c r="Z36" s="94">
        <f>Y36*Y36</f>
        <v>0</v>
      </c>
      <c r="AA36" s="94">
        <f t="shared" si="9"/>
        <v>0</v>
      </c>
      <c r="AB36" s="94">
        <f t="shared" si="10"/>
        <v>0</v>
      </c>
      <c r="AC36" s="94">
        <f ca="1">IF(ROW(W36)=6,W36,W36+OFFSET(AC36,-1,0))</f>
        <v>0</v>
      </c>
      <c r="AD36" s="94">
        <f>SQRT(SUM(Z$6:Z31))</f>
        <v>0</v>
      </c>
      <c r="AE36" s="94">
        <f ca="1">AC36+AD36</f>
        <v>0</v>
      </c>
      <c r="AF36" s="94">
        <f t="shared" si="11"/>
        <v>0</v>
      </c>
      <c r="AG36" s="94">
        <f t="shared" si="12"/>
        <v>0</v>
      </c>
      <c r="AH36" s="94">
        <f ca="1">IFERROR(IF(VLOOKUP($A36,Tasks!$X$4:$AC$30,COLUMN(Tasks!$Y$4)-COLUMN(Tasks!$X$4)+1,FALSE)&gt;0,1,0),0)</f>
        <v>0</v>
      </c>
      <c r="AI36" s="94">
        <f ca="1">IF(AH36,IFERROR(VLOOKUP($A36,Tasks!$X$4:$AC$30,COLUMN(Tasks!$Y$4)-COLUMN(Tasks!$X$4)+1,FALSE),0),W36)</f>
        <v>0</v>
      </c>
      <c r="AJ36" s="94">
        <f ca="1">IF(AH36,IFERROR(VLOOKUP($A36,Tasks!$X$4:$AC$30,COLUMN(Tasks!$AB$4)-COLUMN(Tasks!$X$4)+1,FALSE),0),AA36)</f>
        <v>0</v>
      </c>
      <c r="AK36" s="94">
        <f ca="1">IF(AH36,IFERROR(VLOOKUP($A36,Tasks!$X$4:$AC$30,COLUMN(Tasks!$AC$4)-COLUMN(Tasks!$X$4)+1,FALSE),0),AB36)</f>
        <v>0</v>
      </c>
      <c r="AO36" s="94" t="s">
        <v>36</v>
      </c>
    </row>
    <row r="37" spans="3:41" s="94" customFormat="1" ht="67.5" x14ac:dyDescent="0.2">
      <c r="C37" s="94">
        <f t="shared" ca="1" si="8"/>
        <v>0</v>
      </c>
      <c r="D37" s="94" t="str">
        <f>CONCATENATE(Parameters!$B$2,F37,CHAR(10),Parameters!$B$3,G37,CHAR(10),Parameters!$B$4,H37)</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E37" s="94" t="s">
        <v>104</v>
      </c>
      <c r="F37" s="94" t="s">
        <v>273</v>
      </c>
      <c r="G37" s="94" t="s">
        <v>120</v>
      </c>
      <c r="H37" s="94" t="s">
        <v>121</v>
      </c>
      <c r="J37" s="94" t="s">
        <v>83</v>
      </c>
      <c r="M37" s="94" t="s">
        <v>289</v>
      </c>
      <c r="N37" s="94" t="s">
        <v>349</v>
      </c>
      <c r="O37" s="94" t="s">
        <v>244</v>
      </c>
      <c r="R37" s="94" t="s">
        <v>356</v>
      </c>
      <c r="W37" s="94">
        <f>(S37+(3*U37)+T37)/5</f>
        <v>0</v>
      </c>
      <c r="X37" s="94">
        <f>IF(W37&gt;32,100,IF(W37&gt;16,32,IF(W37&gt;8,16,IF(W37&gt;4,8,IF(W37&gt;2,4,IF(W37&gt;1,2,IF(W37&gt;0,1,0)))))))</f>
        <v>0</v>
      </c>
      <c r="Y37" s="94">
        <f>(T37-S37)/5</f>
        <v>0</v>
      </c>
      <c r="Z37" s="94">
        <f>Y37*Y37</f>
        <v>0</v>
      </c>
      <c r="AA37" s="94">
        <f t="shared" si="9"/>
        <v>0</v>
      </c>
      <c r="AB37" s="94">
        <f t="shared" si="10"/>
        <v>0</v>
      </c>
      <c r="AC37" s="94">
        <f ca="1">IF(ROW(W37)=6,W37,W37+OFFSET(AC37,-1,0))</f>
        <v>0</v>
      </c>
      <c r="AD37" s="94">
        <f>SQRT(SUM(Z$6:Z32))</f>
        <v>0</v>
      </c>
      <c r="AE37" s="94">
        <f ca="1">AC37+AD37</f>
        <v>0</v>
      </c>
      <c r="AF37" s="94">
        <f t="shared" si="11"/>
        <v>0</v>
      </c>
      <c r="AG37" s="94">
        <f t="shared" si="12"/>
        <v>0</v>
      </c>
      <c r="AH37" s="94">
        <f ca="1">IFERROR(IF(VLOOKUP($A37,Tasks!$X$4:$AC$30,COLUMN(Tasks!$Y$4)-COLUMN(Tasks!$X$4)+1,FALSE)&gt;0,1,0),0)</f>
        <v>0</v>
      </c>
      <c r="AI37" s="94">
        <f ca="1">IF(AH37,IFERROR(VLOOKUP($A37,Tasks!$X$4:$AC$30,COLUMN(Tasks!$Y$4)-COLUMN(Tasks!$X$4)+1,FALSE),0),W37)</f>
        <v>0</v>
      </c>
      <c r="AJ37" s="94">
        <f ca="1">IF(AH37,IFERROR(VLOOKUP($A37,Tasks!$X$4:$AC$30,COLUMN(Tasks!$AB$4)-COLUMN(Tasks!$X$4)+1,FALSE),0),AA37)</f>
        <v>0</v>
      </c>
      <c r="AK37" s="94">
        <f ca="1">IF(AH37,IFERROR(VLOOKUP($A37,Tasks!$X$4:$AC$30,COLUMN(Tasks!$AC$4)-COLUMN(Tasks!$X$4)+1,FALSE),0),AB37)</f>
        <v>0</v>
      </c>
      <c r="AO37" s="94" t="s">
        <v>36</v>
      </c>
    </row>
    <row r="38" spans="3:41" s="94" customFormat="1" ht="56.25" x14ac:dyDescent="0.2">
      <c r="C38" s="94">
        <f t="shared" ca="1" si="0"/>
        <v>0</v>
      </c>
      <c r="D38" s="94" t="str">
        <f>CONCATENATE(Parameters!$B$2,F38,CHAR(10),Parameters!$B$3,G38,CHAR(10),Parameters!$B$4,H38)</f>
        <v>GIVEN logged in to the system as 
Test Lead, Master editor, Local editor
WHEN chosing to create a test sequence
THEN  you should be able to add test cases and save and name test sequence with a unique name</v>
      </c>
      <c r="F38" s="94" t="s">
        <v>272</v>
      </c>
      <c r="G38" s="94" t="s">
        <v>96</v>
      </c>
      <c r="H38" s="94" t="s">
        <v>239</v>
      </c>
      <c r="J38" s="94" t="s">
        <v>83</v>
      </c>
      <c r="M38" s="94" t="s">
        <v>289</v>
      </c>
      <c r="N38" s="94" t="s">
        <v>349</v>
      </c>
      <c r="O38" s="94" t="s">
        <v>242</v>
      </c>
      <c r="W38" s="94">
        <f t="shared" si="1"/>
        <v>0</v>
      </c>
      <c r="X38" s="94">
        <f t="shared" ref="X38:X67" si="13">IF(W38&gt;32,100,IF(W38&gt;16,32,IF(W38&gt;8,16,IF(W38&gt;4,8,IF(W38&gt;2,4,IF(W38&gt;1,2,IF(W38&gt;0,1,0)))))))</f>
        <v>0</v>
      </c>
      <c r="Y38" s="94">
        <f t="shared" si="2"/>
        <v>0</v>
      </c>
      <c r="Z38" s="94">
        <f t="shared" si="3"/>
        <v>0</v>
      </c>
      <c r="AA38" s="94">
        <f t="shared" si="4"/>
        <v>0</v>
      </c>
      <c r="AB38" s="94">
        <f t="shared" si="5"/>
        <v>0</v>
      </c>
      <c r="AC38" s="94">
        <f t="shared" ref="AC38:AC67" ca="1" si="14">IF(ROW(W38)=6,W38,W38+OFFSET(AC38,-1,0))</f>
        <v>0</v>
      </c>
      <c r="AD38" s="94">
        <f>SQRT(SUM(Z$6:Z38))</f>
        <v>0</v>
      </c>
      <c r="AE38" s="94">
        <f t="shared" ca="1" si="6"/>
        <v>0</v>
      </c>
      <c r="AF38" s="94">
        <f t="shared" si="7"/>
        <v>0</v>
      </c>
      <c r="AG38" s="94">
        <f t="shared" si="12"/>
        <v>0</v>
      </c>
      <c r="AH38" s="94">
        <f ca="1">IFERROR(IF(VLOOKUP($A38,Tasks!$X$4:$AC$30,COLUMN(Tasks!$Y$4)-COLUMN(Tasks!$X$4)+1,FALSE)&gt;0,1,0),0)</f>
        <v>0</v>
      </c>
      <c r="AI38" s="94">
        <f ca="1">IF(AH38,IFERROR(VLOOKUP($A38,Tasks!$X$4:$AC$30,COLUMN(Tasks!$Y$4)-COLUMN(Tasks!$X$4)+1,FALSE),0),W38)</f>
        <v>0</v>
      </c>
      <c r="AJ38" s="94">
        <f ca="1">IF(AH38,IFERROR(VLOOKUP($A38,Tasks!$X$4:$AC$30,COLUMN(Tasks!$AB$4)-COLUMN(Tasks!$X$4)+1,FALSE),0),AA38)</f>
        <v>0</v>
      </c>
      <c r="AK38" s="94">
        <f ca="1">IF(AH38,IFERROR(VLOOKUP($A38,Tasks!$X$4:$AC$30,COLUMN(Tasks!$AC$4)-COLUMN(Tasks!$X$4)+1,FALSE),0),AB38)</f>
        <v>0</v>
      </c>
      <c r="AO38" s="94" t="s">
        <v>36</v>
      </c>
    </row>
    <row r="39" spans="3:41" s="94" customFormat="1" ht="56.25" x14ac:dyDescent="0.2">
      <c r="C39" s="94">
        <f t="shared" ref="C39:C60" ca="1" si="15">AE39</f>
        <v>0</v>
      </c>
      <c r="D39" s="94" t="str">
        <f>CONCATENATE(Parameters!$B$2,F39,CHAR(10),Parameters!$B$3,G39,CHAR(10),Parameters!$B$4,H39)</f>
        <v>GIVEN logged in as Master Editor to the system
WHEN You should be able to search test cases for different categories(truck functions).
THEN Should be possible to view test cases for different categories (truck functions)</v>
      </c>
      <c r="E39" s="94" t="s">
        <v>104</v>
      </c>
      <c r="F39" s="94" t="s">
        <v>273</v>
      </c>
      <c r="G39" s="94" t="s">
        <v>113</v>
      </c>
      <c r="H39" s="94" t="s">
        <v>109</v>
      </c>
      <c r="J39" s="94" t="s">
        <v>83</v>
      </c>
      <c r="M39" s="94" t="s">
        <v>289</v>
      </c>
      <c r="N39" s="94" t="s">
        <v>349</v>
      </c>
      <c r="O39" s="94" t="s">
        <v>244</v>
      </c>
      <c r="R39" s="94" t="s">
        <v>123</v>
      </c>
      <c r="W39" s="94">
        <f t="shared" ref="W39:W60" si="16">(S39+(3*U39)+T39)/5</f>
        <v>0</v>
      </c>
      <c r="X39" s="94">
        <f t="shared" ref="X39:X60" si="17">IF(W39&gt;32,100,IF(W39&gt;16,32,IF(W39&gt;8,16,IF(W39&gt;4,8,IF(W39&gt;2,4,IF(W39&gt;1,2,IF(W39&gt;0,1,0)))))))</f>
        <v>0</v>
      </c>
      <c r="Y39" s="94">
        <f t="shared" ref="Y39:Y60" si="18">(T39-S39)/5</f>
        <v>0</v>
      </c>
      <c r="Z39" s="94">
        <f t="shared" ref="Z39:Z60" si="19">Y39*Y39</f>
        <v>0</v>
      </c>
      <c r="AA39" s="94">
        <f t="shared" ref="AA39:AA60" si="20">ROUND(W39-(ROUND(SQRT(Z39),0)),0)</f>
        <v>0</v>
      </c>
      <c r="AB39" s="94">
        <f t="shared" ref="AB39:AB60" si="21">ROUND(W39+(ROUND(SQRT(Z39),0)),0)</f>
        <v>0</v>
      </c>
      <c r="AC39" s="94">
        <f t="shared" ref="AC39:AC60" ca="1" si="22">IF(ROW(W39)=6,W39,W39+OFFSET(AC39,-1,0))</f>
        <v>0</v>
      </c>
      <c r="AD39" s="94">
        <f>SQRT(SUM(Z$6:Z39))</f>
        <v>0</v>
      </c>
      <c r="AE39" s="94">
        <f t="shared" ref="AE39:AE60" ca="1" si="23">AC39+AD39</f>
        <v>0</v>
      </c>
      <c r="AF39" s="94">
        <f t="shared" ref="AF39:AF60" si="24">IFERROR(Y39/W39,0)</f>
        <v>0</v>
      </c>
      <c r="AG39" s="94">
        <f t="shared" si="12"/>
        <v>0</v>
      </c>
      <c r="AH39" s="94">
        <f ca="1">IFERROR(IF(VLOOKUP($A39,Tasks!$X$4:$AC$30,COLUMN(Tasks!$Y$4)-COLUMN(Tasks!$X$4)+1,FALSE)&gt;0,1,0),0)</f>
        <v>0</v>
      </c>
      <c r="AI39" s="94">
        <f ca="1">IF(AH39,IFERROR(VLOOKUP($A39,Tasks!$X$4:$AC$30,COLUMN(Tasks!$Y$4)-COLUMN(Tasks!$X$4)+1,FALSE),0),W39)</f>
        <v>0</v>
      </c>
      <c r="AJ39" s="94">
        <f ca="1">IF(AH39,IFERROR(VLOOKUP($A39,Tasks!$X$4:$AC$30,COLUMN(Tasks!$AB$4)-COLUMN(Tasks!$X$4)+1,FALSE),0),AA39)</f>
        <v>0</v>
      </c>
      <c r="AK39" s="94">
        <f ca="1">IF(AH39,IFERROR(VLOOKUP($A39,Tasks!$X$4:$AC$30,COLUMN(Tasks!$AC$4)-COLUMN(Tasks!$X$4)+1,FALSE),0),AB39)</f>
        <v>0</v>
      </c>
      <c r="AO39" s="94" t="s">
        <v>36</v>
      </c>
    </row>
    <row r="40" spans="3:41" s="94" customFormat="1" ht="56.25" x14ac:dyDescent="0.2">
      <c r="C40" s="94">
        <f t="shared" ca="1" si="15"/>
        <v>0</v>
      </c>
      <c r="D40" s="94" t="str">
        <f>CONCATENATE(Parameters!$B$2,F40,CHAR(10),Parameters!$B$3,G40,CHAR(10),Parameters!$B$4,H40)</f>
        <v>GIVEN logged in as Local Editor to the system
WHEN When chosing to view test cases
THEN You should have an easy overview of test cases and a possibility to easily extract or share the data with people with no access to the system</v>
      </c>
      <c r="E40" s="94" t="s">
        <v>104</v>
      </c>
      <c r="F40" s="94" t="s">
        <v>274</v>
      </c>
      <c r="G40" s="94" t="s">
        <v>110</v>
      </c>
      <c r="H40" s="94" t="s">
        <v>111</v>
      </c>
      <c r="J40" s="94" t="s">
        <v>83</v>
      </c>
      <c r="M40" s="94" t="s">
        <v>289</v>
      </c>
      <c r="N40" s="94" t="s">
        <v>349</v>
      </c>
      <c r="O40" s="94" t="s">
        <v>244</v>
      </c>
      <c r="R40" s="94" t="s">
        <v>124</v>
      </c>
      <c r="W40" s="94">
        <f t="shared" si="16"/>
        <v>0</v>
      </c>
      <c r="X40" s="94">
        <f t="shared" si="17"/>
        <v>0</v>
      </c>
      <c r="Y40" s="94">
        <f t="shared" si="18"/>
        <v>0</v>
      </c>
      <c r="Z40" s="94">
        <f t="shared" si="19"/>
        <v>0</v>
      </c>
      <c r="AA40" s="94">
        <f t="shared" si="20"/>
        <v>0</v>
      </c>
      <c r="AB40" s="94">
        <f t="shared" si="21"/>
        <v>0</v>
      </c>
      <c r="AC40" s="94">
        <f t="shared" ca="1" si="22"/>
        <v>0</v>
      </c>
      <c r="AD40" s="94">
        <f>SQRT(SUM(Z$6:Z40))</f>
        <v>0</v>
      </c>
      <c r="AE40" s="94">
        <f t="shared" ca="1" si="23"/>
        <v>0</v>
      </c>
      <c r="AF40" s="94">
        <f t="shared" si="24"/>
        <v>0</v>
      </c>
      <c r="AG40" s="94">
        <f t="shared" si="12"/>
        <v>0</v>
      </c>
      <c r="AH40" s="94">
        <f ca="1">IFERROR(IF(VLOOKUP($A40,Tasks!$X$4:$AC$30,COLUMN(Tasks!$Y$4)-COLUMN(Tasks!$X$4)+1,FALSE)&gt;0,1,0),0)</f>
        <v>0</v>
      </c>
      <c r="AI40" s="94">
        <f ca="1">IF(AH40,IFERROR(VLOOKUP($A40,Tasks!$X$4:$AC$30,COLUMN(Tasks!$Y$4)-COLUMN(Tasks!$X$4)+1,FALSE),0),W40)</f>
        <v>0</v>
      </c>
      <c r="AJ40" s="94">
        <f ca="1">IF(AH40,IFERROR(VLOOKUP($A40,Tasks!$X$4:$AC$30,COLUMN(Tasks!$AB$4)-COLUMN(Tasks!$X$4)+1,FALSE),0),AA40)</f>
        <v>0</v>
      </c>
      <c r="AK40" s="94">
        <f ca="1">IF(AH40,IFERROR(VLOOKUP($A40,Tasks!$X$4:$AC$30,COLUMN(Tasks!$AC$4)-COLUMN(Tasks!$X$4)+1,FALSE),0),AB40)</f>
        <v>0</v>
      </c>
      <c r="AO40" s="94" t="s">
        <v>36</v>
      </c>
    </row>
    <row r="41" spans="3:41" s="94" customFormat="1" ht="56.25" x14ac:dyDescent="0.2">
      <c r="C41" s="94">
        <f t="shared" ca="1" si="15"/>
        <v>0</v>
      </c>
      <c r="D41" s="94" t="str">
        <f>CONCATENATE(Parameters!$B$2,F41,CHAR(10),Parameters!$B$3,G41,CHAR(10),Parameters!$B$4,H41)</f>
        <v>GIVEN logged in as Local Editor to the system
WHEN when  choosing a variant for a specific product class
THEN You should see valid test cases for that variant and product class combination.</v>
      </c>
      <c r="E41" s="94" t="s">
        <v>104</v>
      </c>
      <c r="F41" s="94" t="s">
        <v>274</v>
      </c>
      <c r="G41" s="94" t="s">
        <v>114</v>
      </c>
      <c r="H41" s="94" t="s">
        <v>115</v>
      </c>
      <c r="J41" s="94" t="s">
        <v>83</v>
      </c>
      <c r="M41" s="94" t="s">
        <v>289</v>
      </c>
      <c r="N41" s="94" t="s">
        <v>349</v>
      </c>
      <c r="O41" s="94" t="s">
        <v>244</v>
      </c>
      <c r="W41" s="94">
        <f t="shared" si="16"/>
        <v>0</v>
      </c>
      <c r="X41" s="94">
        <f t="shared" si="17"/>
        <v>0</v>
      </c>
      <c r="Y41" s="94">
        <f t="shared" si="18"/>
        <v>0</v>
      </c>
      <c r="Z41" s="94">
        <f t="shared" si="19"/>
        <v>0</v>
      </c>
      <c r="AA41" s="94">
        <f t="shared" si="20"/>
        <v>0</v>
      </c>
      <c r="AB41" s="94">
        <f t="shared" si="21"/>
        <v>0</v>
      </c>
      <c r="AC41" s="94">
        <f t="shared" ca="1" si="22"/>
        <v>0</v>
      </c>
      <c r="AD41" s="94">
        <f>SQRT(SUM(Z$6:Z41))</f>
        <v>0</v>
      </c>
      <c r="AE41" s="94">
        <f t="shared" ca="1" si="23"/>
        <v>0</v>
      </c>
      <c r="AF41" s="94">
        <f t="shared" si="24"/>
        <v>0</v>
      </c>
      <c r="AG41" s="94">
        <f t="shared" si="12"/>
        <v>0</v>
      </c>
      <c r="AH41" s="94">
        <f ca="1">IFERROR(IF(VLOOKUP($A41,Tasks!$X$4:$AC$30,COLUMN(Tasks!$Y$4)-COLUMN(Tasks!$X$4)+1,FALSE)&gt;0,1,0),0)</f>
        <v>0</v>
      </c>
      <c r="AI41" s="94">
        <f ca="1">IF(AH41,IFERROR(VLOOKUP($A41,Tasks!$X$4:$AC$30,COLUMN(Tasks!$Y$4)-COLUMN(Tasks!$X$4)+1,FALSE),0),W41)</f>
        <v>0</v>
      </c>
      <c r="AJ41" s="94">
        <f ca="1">IF(AH41,IFERROR(VLOOKUP($A41,Tasks!$X$4:$AC$30,COLUMN(Tasks!$AB$4)-COLUMN(Tasks!$X$4)+1,FALSE),0),AA41)</f>
        <v>0</v>
      </c>
      <c r="AK41" s="94">
        <f ca="1">IF(AH41,IFERROR(VLOOKUP($A41,Tasks!$X$4:$AC$30,COLUMN(Tasks!$AC$4)-COLUMN(Tasks!$X$4)+1,FALSE),0),AB41)</f>
        <v>0</v>
      </c>
      <c r="AO41" s="94" t="s">
        <v>36</v>
      </c>
    </row>
    <row r="42" spans="3:41" s="94" customFormat="1" ht="67.5" x14ac:dyDescent="0.2">
      <c r="C42" s="94">
        <f t="shared" ca="1" si="15"/>
        <v>0</v>
      </c>
      <c r="D42" s="94" t="str">
        <f>CONCATENATE(Parameters!$B$2,F42,CHAR(10),Parameters!$B$3,G42,CHAR(10),Parameters!$B$4,H42)</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E42" s="94" t="s">
        <v>104</v>
      </c>
      <c r="F42" s="94" t="s">
        <v>275</v>
      </c>
      <c r="G42" s="94" t="s">
        <v>211</v>
      </c>
      <c r="H42" s="94" t="s">
        <v>116</v>
      </c>
      <c r="J42" s="94" t="s">
        <v>83</v>
      </c>
      <c r="M42" s="94" t="s">
        <v>289</v>
      </c>
      <c r="N42" s="94" t="s">
        <v>349</v>
      </c>
      <c r="O42" s="94" t="s">
        <v>244</v>
      </c>
      <c r="W42" s="94">
        <f t="shared" si="16"/>
        <v>0</v>
      </c>
      <c r="X42" s="94">
        <f t="shared" si="17"/>
        <v>0</v>
      </c>
      <c r="Y42" s="94">
        <f t="shared" si="18"/>
        <v>0</v>
      </c>
      <c r="Z42" s="94">
        <f t="shared" si="19"/>
        <v>0</v>
      </c>
      <c r="AA42" s="94">
        <f t="shared" si="20"/>
        <v>0</v>
      </c>
      <c r="AB42" s="94">
        <f t="shared" si="21"/>
        <v>0</v>
      </c>
      <c r="AC42" s="94">
        <f t="shared" ca="1" si="22"/>
        <v>0</v>
      </c>
      <c r="AD42" s="94">
        <f>SQRT(SUM(Z$6:Z64))</f>
        <v>0</v>
      </c>
      <c r="AE42" s="94">
        <f t="shared" ca="1" si="23"/>
        <v>0</v>
      </c>
      <c r="AF42" s="94">
        <f t="shared" si="24"/>
        <v>0</v>
      </c>
      <c r="AG42" s="94">
        <f t="shared" si="12"/>
        <v>0</v>
      </c>
      <c r="AH42" s="94">
        <f ca="1">IFERROR(IF(VLOOKUP($A42,Tasks!$X$4:$AC$30,COLUMN(Tasks!$Y$4)-COLUMN(Tasks!$X$4)+1,FALSE)&gt;0,1,0),0)</f>
        <v>0</v>
      </c>
      <c r="AI42" s="94">
        <f ca="1">IF(AH42,IFERROR(VLOOKUP($A42,Tasks!$X$4:$AC$30,COLUMN(Tasks!$Y$4)-COLUMN(Tasks!$X$4)+1,FALSE),0),W42)</f>
        <v>0</v>
      </c>
      <c r="AJ42" s="94">
        <f ca="1">IF(AH42,IFERROR(VLOOKUP($A42,Tasks!$X$4:$AC$30,COLUMN(Tasks!$AB$4)-COLUMN(Tasks!$X$4)+1,FALSE),0),AA42)</f>
        <v>0</v>
      </c>
      <c r="AK42" s="94">
        <f ca="1">IF(AH42,IFERROR(VLOOKUP($A42,Tasks!$X$4:$AC$30,COLUMN(Tasks!$AC$4)-COLUMN(Tasks!$X$4)+1,FALSE),0),AB42)</f>
        <v>0</v>
      </c>
      <c r="AO42" s="94" t="s">
        <v>36</v>
      </c>
    </row>
    <row r="43" spans="3:41" s="94" customFormat="1" ht="56.25" x14ac:dyDescent="0.2">
      <c r="C43" s="94">
        <f t="shared" ca="1" si="15"/>
        <v>0</v>
      </c>
      <c r="D43" s="94" t="str">
        <f>CONCATENATE(Parameters!$B$2,F43,CHAR(10),Parameters!$B$3,G43,CHAR(10),Parameters!$B$4,H43)</f>
        <v>GIVEN logged in as Test Engineer to the system
WHEN Editing a test case you should have the possibility to add tags to the test case from a pre-defined list.
THEN Test case should be updated with tags as attributes that should be searchable.</v>
      </c>
      <c r="E43" s="94" t="s">
        <v>155</v>
      </c>
      <c r="F43" s="94" t="s">
        <v>269</v>
      </c>
      <c r="G43" s="94" t="s">
        <v>132</v>
      </c>
      <c r="H43" s="94" t="s">
        <v>213</v>
      </c>
      <c r="J43" s="94" t="s">
        <v>83</v>
      </c>
      <c r="M43" s="94" t="s">
        <v>289</v>
      </c>
      <c r="N43" s="94" t="s">
        <v>349</v>
      </c>
      <c r="O43" s="94" t="s">
        <v>244</v>
      </c>
      <c r="R43" s="94" t="s">
        <v>131</v>
      </c>
      <c r="W43" s="94">
        <f t="shared" si="16"/>
        <v>0</v>
      </c>
      <c r="X43" s="94">
        <f t="shared" si="17"/>
        <v>0</v>
      </c>
      <c r="Y43" s="94">
        <f t="shared" si="18"/>
        <v>0</v>
      </c>
      <c r="Z43" s="94">
        <f t="shared" si="19"/>
        <v>0</v>
      </c>
      <c r="AA43" s="94">
        <f t="shared" si="20"/>
        <v>0</v>
      </c>
      <c r="AB43" s="94">
        <f t="shared" si="21"/>
        <v>0</v>
      </c>
      <c r="AC43" s="94">
        <f t="shared" ca="1" si="22"/>
        <v>0</v>
      </c>
      <c r="AD43" s="94">
        <f>SQRT(SUM(Z$6:Z66))</f>
        <v>0</v>
      </c>
      <c r="AE43" s="94">
        <f t="shared" ca="1" si="23"/>
        <v>0</v>
      </c>
      <c r="AF43" s="94">
        <f t="shared" si="24"/>
        <v>0</v>
      </c>
      <c r="AG43" s="94">
        <f t="shared" si="12"/>
        <v>0</v>
      </c>
      <c r="AH43" s="94">
        <f ca="1">IFERROR(IF(VLOOKUP($A43,Tasks!$X$4:$AC$30,COLUMN(Tasks!$Y$4)-COLUMN(Tasks!$X$4)+1,FALSE)&gt;0,1,0),0)</f>
        <v>0</v>
      </c>
      <c r="AI43" s="94">
        <f ca="1">IF(AH43,IFERROR(VLOOKUP($A43,Tasks!$X$4:$AC$30,COLUMN(Tasks!$Y$4)-COLUMN(Tasks!$X$4)+1,FALSE),0),W43)</f>
        <v>0</v>
      </c>
      <c r="AJ43" s="94">
        <f ca="1">IF(AH43,IFERROR(VLOOKUP($A43,Tasks!$X$4:$AC$30,COLUMN(Tasks!$AB$4)-COLUMN(Tasks!$X$4)+1,FALSE),0),AA43)</f>
        <v>0</v>
      </c>
      <c r="AK43" s="94">
        <f ca="1">IF(AH43,IFERROR(VLOOKUP($A43,Tasks!$X$4:$AC$30,COLUMN(Tasks!$AC$4)-COLUMN(Tasks!$X$4)+1,FALSE),0),AB43)</f>
        <v>0</v>
      </c>
      <c r="AO43" s="94" t="s">
        <v>36</v>
      </c>
    </row>
    <row r="44" spans="3:41" s="94" customFormat="1" ht="67.5" x14ac:dyDescent="0.2">
      <c r="C44" s="94">
        <f t="shared" ca="1" si="15"/>
        <v>0</v>
      </c>
      <c r="D44" s="94" t="str">
        <f>CONCATENATE(Parameters!$B$2,F44,CHAR(10),Parameters!$B$3,G44,CHAR(10),Parameters!$B$4,H44)</f>
        <v>GIVEN logged in as Test Engineer to the system
WHEN Editing a test case you should have the possibility to add attachements to a test case
THEN The attachement should be added to the test case and it should be possible to click the attachement viewing the test case</v>
      </c>
      <c r="E44" s="94" t="s">
        <v>155</v>
      </c>
      <c r="F44" s="94" t="s">
        <v>269</v>
      </c>
      <c r="G44" s="94" t="s">
        <v>134</v>
      </c>
      <c r="H44" s="94" t="s">
        <v>135</v>
      </c>
      <c r="J44" s="94" t="s">
        <v>83</v>
      </c>
      <c r="M44" s="94" t="s">
        <v>289</v>
      </c>
      <c r="N44" s="94" t="s">
        <v>349</v>
      </c>
      <c r="O44" s="94" t="s">
        <v>244</v>
      </c>
      <c r="R44" s="94" t="s">
        <v>133</v>
      </c>
      <c r="W44" s="94">
        <f t="shared" si="16"/>
        <v>0</v>
      </c>
      <c r="X44" s="94">
        <f t="shared" si="17"/>
        <v>0</v>
      </c>
      <c r="Y44" s="94">
        <f t="shared" si="18"/>
        <v>0</v>
      </c>
      <c r="Z44" s="94">
        <f t="shared" si="19"/>
        <v>0</v>
      </c>
      <c r="AA44" s="94">
        <f t="shared" si="20"/>
        <v>0</v>
      </c>
      <c r="AB44" s="94">
        <f t="shared" si="21"/>
        <v>0</v>
      </c>
      <c r="AC44" s="94">
        <f t="shared" ca="1" si="22"/>
        <v>0</v>
      </c>
      <c r="AD44" s="94">
        <f>SQRT(SUM(Z$6:Z67))</f>
        <v>0</v>
      </c>
      <c r="AE44" s="94">
        <f t="shared" ca="1" si="23"/>
        <v>0</v>
      </c>
      <c r="AF44" s="94">
        <f t="shared" si="24"/>
        <v>0</v>
      </c>
      <c r="AG44" s="94">
        <f t="shared" si="12"/>
        <v>0</v>
      </c>
      <c r="AH44" s="94">
        <f ca="1">IFERROR(IF(VLOOKUP($A44,Tasks!$X$4:$AC$30,COLUMN(Tasks!$Y$4)-COLUMN(Tasks!$X$4)+1,FALSE)&gt;0,1,0),0)</f>
        <v>0</v>
      </c>
      <c r="AI44" s="94">
        <f ca="1">IF(AH44,IFERROR(VLOOKUP($A44,Tasks!$X$4:$AC$30,COLUMN(Tasks!$Y$4)-COLUMN(Tasks!$X$4)+1,FALSE),0),W44)</f>
        <v>0</v>
      </c>
      <c r="AJ44" s="94">
        <f ca="1">IF(AH44,IFERROR(VLOOKUP($A44,Tasks!$X$4:$AC$30,COLUMN(Tasks!$AB$4)-COLUMN(Tasks!$X$4)+1,FALSE),0),AA44)</f>
        <v>0</v>
      </c>
      <c r="AK44" s="94">
        <f ca="1">IF(AH44,IFERROR(VLOOKUP($A44,Tasks!$X$4:$AC$30,COLUMN(Tasks!$AC$4)-COLUMN(Tasks!$X$4)+1,FALSE),0),AB44)</f>
        <v>0</v>
      </c>
      <c r="AO44" s="94" t="s">
        <v>36</v>
      </c>
    </row>
    <row r="45" spans="3:41" s="94" customFormat="1" ht="56.25" x14ac:dyDescent="0.2">
      <c r="C45" s="94">
        <f t="shared" ca="1" si="15"/>
        <v>0</v>
      </c>
      <c r="D45" s="94" t="str">
        <f>CONCATENATE(Parameters!$B$2,F45,CHAR(10),Parameters!$B$3,G45,CHAR(10),Parameters!$B$4,H45)</f>
        <v>GIVEN logged in as a Global Responsible
WHEN Searching for test cases or clicking on a test case there should always be an english description and result text for it.
THEN You should be presented with English text.</v>
      </c>
      <c r="E45" s="94" t="s">
        <v>155</v>
      </c>
      <c r="F45" s="94" t="s">
        <v>271</v>
      </c>
      <c r="G45" s="94" t="s">
        <v>141</v>
      </c>
      <c r="H45" s="94" t="s">
        <v>142</v>
      </c>
      <c r="J45" s="94" t="s">
        <v>83</v>
      </c>
      <c r="M45" s="94" t="s">
        <v>289</v>
      </c>
      <c r="N45" s="94" t="s">
        <v>349</v>
      </c>
      <c r="O45" s="94" t="s">
        <v>244</v>
      </c>
      <c r="R45" s="94" t="s">
        <v>140</v>
      </c>
      <c r="W45" s="94">
        <f t="shared" si="16"/>
        <v>0</v>
      </c>
      <c r="X45" s="94">
        <f t="shared" si="17"/>
        <v>0</v>
      </c>
      <c r="Y45" s="94">
        <f t="shared" si="18"/>
        <v>0</v>
      </c>
      <c r="Z45" s="94">
        <f t="shared" si="19"/>
        <v>0</v>
      </c>
      <c r="AA45" s="94">
        <f t="shared" si="20"/>
        <v>0</v>
      </c>
      <c r="AB45" s="94">
        <f t="shared" si="21"/>
        <v>0</v>
      </c>
      <c r="AC45" s="94">
        <f t="shared" ca="1" si="22"/>
        <v>0</v>
      </c>
      <c r="AD45" s="94">
        <f>SQRT(SUM(Z$6:Z68))</f>
        <v>0</v>
      </c>
      <c r="AE45" s="94">
        <f t="shared" ca="1" si="23"/>
        <v>0</v>
      </c>
      <c r="AF45" s="94">
        <f t="shared" si="24"/>
        <v>0</v>
      </c>
      <c r="AG45" s="94">
        <f t="shared" si="12"/>
        <v>0</v>
      </c>
      <c r="AH45" s="94">
        <f ca="1">IFERROR(IF(VLOOKUP($A45,Tasks!$X$4:$AC$30,COLUMN(Tasks!$Y$4)-COLUMN(Tasks!$X$4)+1,FALSE)&gt;0,1,0),0)</f>
        <v>0</v>
      </c>
      <c r="AI45" s="94">
        <f ca="1">IF(AH45,IFERROR(VLOOKUP($A45,Tasks!$X$4:$AC$30,COLUMN(Tasks!$Y$4)-COLUMN(Tasks!$X$4)+1,FALSE),0),W45)</f>
        <v>0</v>
      </c>
      <c r="AJ45" s="94">
        <f ca="1">IF(AH45,IFERROR(VLOOKUP($A45,Tasks!$X$4:$AC$30,COLUMN(Tasks!$AB$4)-COLUMN(Tasks!$X$4)+1,FALSE),0),AA45)</f>
        <v>0</v>
      </c>
      <c r="AK45" s="94">
        <f ca="1">IF(AH45,IFERROR(VLOOKUP($A45,Tasks!$X$4:$AC$30,COLUMN(Tasks!$AC$4)-COLUMN(Tasks!$X$4)+1,FALSE),0),AB45)</f>
        <v>0</v>
      </c>
      <c r="AO45" s="94" t="s">
        <v>36</v>
      </c>
    </row>
    <row r="46" spans="3:41" s="94" customFormat="1" ht="90" x14ac:dyDescent="0.2">
      <c r="C46" s="94">
        <f t="shared" ca="1" si="15"/>
        <v>0</v>
      </c>
      <c r="D46" s="94" t="str">
        <f>CONCATENATE(Parameters!$B$2,F46,CHAR(10),Parameters!$B$3,G46,CHAR(10),Parameters!$B$4,H46)</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E46" s="94" t="s">
        <v>155</v>
      </c>
      <c r="F46" s="94" t="s">
        <v>270</v>
      </c>
      <c r="G46" s="94" t="s">
        <v>191</v>
      </c>
      <c r="H46" s="94" t="s">
        <v>197</v>
      </c>
      <c r="J46" s="94" t="s">
        <v>83</v>
      </c>
      <c r="M46" s="94" t="s">
        <v>289</v>
      </c>
      <c r="N46" s="94" t="s">
        <v>349</v>
      </c>
      <c r="O46" s="94" t="s">
        <v>251</v>
      </c>
      <c r="R46" s="94" t="s">
        <v>143</v>
      </c>
      <c r="W46" s="94">
        <f t="shared" si="16"/>
        <v>0</v>
      </c>
      <c r="X46" s="94">
        <f t="shared" si="17"/>
        <v>0</v>
      </c>
      <c r="Y46" s="94">
        <f t="shared" si="18"/>
        <v>0</v>
      </c>
      <c r="Z46" s="94">
        <f t="shared" si="19"/>
        <v>0</v>
      </c>
      <c r="AA46" s="94">
        <f t="shared" si="20"/>
        <v>0</v>
      </c>
      <c r="AB46" s="94">
        <f t="shared" si="21"/>
        <v>0</v>
      </c>
      <c r="AC46" s="94">
        <f t="shared" ca="1" si="22"/>
        <v>0</v>
      </c>
      <c r="AD46" s="94">
        <f>SQRT(SUM(Z$6:Z68))</f>
        <v>0</v>
      </c>
      <c r="AE46" s="94">
        <f t="shared" ca="1" si="23"/>
        <v>0</v>
      </c>
      <c r="AF46" s="94">
        <f t="shared" si="24"/>
        <v>0</v>
      </c>
      <c r="AG46" s="94">
        <f t="shared" si="12"/>
        <v>0</v>
      </c>
      <c r="AH46" s="94">
        <f ca="1">IFERROR(IF(VLOOKUP($A46,Tasks!$X$4:$AC$30,COLUMN(Tasks!$Y$4)-COLUMN(Tasks!$X$4)+1,FALSE)&gt;0,1,0),0)</f>
        <v>0</v>
      </c>
      <c r="AI46" s="94">
        <f ca="1">IF(AH46,IFERROR(VLOOKUP($A46,Tasks!$X$4:$AC$30,COLUMN(Tasks!$Y$4)-COLUMN(Tasks!$X$4)+1,FALSE),0),W46)</f>
        <v>0</v>
      </c>
      <c r="AJ46" s="94">
        <f ca="1">IF(AH46,IFERROR(VLOOKUP($A46,Tasks!$X$4:$AC$30,COLUMN(Tasks!$AB$4)-COLUMN(Tasks!$X$4)+1,FALSE),0),AA46)</f>
        <v>0</v>
      </c>
      <c r="AK46" s="94">
        <f ca="1">IF(AH46,IFERROR(VLOOKUP($A46,Tasks!$X$4:$AC$30,COLUMN(Tasks!$AC$4)-COLUMN(Tasks!$X$4)+1,FALSE),0),AB46)</f>
        <v>0</v>
      </c>
      <c r="AO46" s="94" t="s">
        <v>36</v>
      </c>
    </row>
    <row r="47" spans="3:41" s="94" customFormat="1" ht="45" x14ac:dyDescent="0.2">
      <c r="C47" s="94">
        <f t="shared" ca="1" si="15"/>
        <v>0</v>
      </c>
      <c r="D47" s="94" t="str">
        <f>CONCATENATE(Parameters!$B$2,F47,CHAR(10),Parameters!$B$3,G47,CHAR(10),Parameters!$B$4,H47)</f>
        <v>GIVEN You are logged in as Master Editor 
WHEN A change is made to a variant filter (I.e. new product class is included)
THEN You should be presented with the change</v>
      </c>
      <c r="E47" s="94" t="s">
        <v>104</v>
      </c>
      <c r="F47" s="94" t="s">
        <v>192</v>
      </c>
      <c r="G47" s="94" t="s">
        <v>193</v>
      </c>
      <c r="H47" s="94" t="s">
        <v>194</v>
      </c>
      <c r="J47" s="94" t="s">
        <v>83</v>
      </c>
      <c r="M47" s="94" t="s">
        <v>289</v>
      </c>
      <c r="N47" s="94" t="s">
        <v>349</v>
      </c>
      <c r="O47" s="94" t="s">
        <v>244</v>
      </c>
      <c r="R47" s="94" t="s">
        <v>145</v>
      </c>
      <c r="W47" s="94">
        <f t="shared" si="16"/>
        <v>0</v>
      </c>
      <c r="X47" s="94">
        <f t="shared" si="17"/>
        <v>0</v>
      </c>
      <c r="Y47" s="94">
        <f t="shared" si="18"/>
        <v>0</v>
      </c>
      <c r="Z47" s="94">
        <f t="shared" si="19"/>
        <v>0</v>
      </c>
      <c r="AA47" s="94">
        <f t="shared" si="20"/>
        <v>0</v>
      </c>
      <c r="AB47" s="94">
        <f t="shared" si="21"/>
        <v>0</v>
      </c>
      <c r="AC47" s="94">
        <f t="shared" ca="1" si="22"/>
        <v>0</v>
      </c>
      <c r="AD47" s="94">
        <f>SQRT(SUM(Z$6:Z68))</f>
        <v>0</v>
      </c>
      <c r="AE47" s="94">
        <f t="shared" ca="1" si="23"/>
        <v>0</v>
      </c>
      <c r="AF47" s="94">
        <f t="shared" si="24"/>
        <v>0</v>
      </c>
      <c r="AG47" s="94">
        <f t="shared" si="12"/>
        <v>0</v>
      </c>
      <c r="AH47" s="94">
        <f ca="1">IFERROR(IF(VLOOKUP($A47,Tasks!$X$4:$AC$30,COLUMN(Tasks!$Y$4)-COLUMN(Tasks!$X$4)+1,FALSE)&gt;0,1,0),0)</f>
        <v>0</v>
      </c>
      <c r="AI47" s="94">
        <f ca="1">IF(AH47,IFERROR(VLOOKUP($A47,Tasks!$X$4:$AC$30,COLUMN(Tasks!$Y$4)-COLUMN(Tasks!$X$4)+1,FALSE),0),W47)</f>
        <v>0</v>
      </c>
      <c r="AJ47" s="94">
        <f ca="1">IF(AH47,IFERROR(VLOOKUP($A47,Tasks!$X$4:$AC$30,COLUMN(Tasks!$AB$4)-COLUMN(Tasks!$X$4)+1,FALSE),0),AA47)</f>
        <v>0</v>
      </c>
      <c r="AK47" s="94">
        <f ca="1">IF(AH47,IFERROR(VLOOKUP($A47,Tasks!$X$4:$AC$30,COLUMN(Tasks!$AC$4)-COLUMN(Tasks!$X$4)+1,FALSE),0),AB47)</f>
        <v>0</v>
      </c>
      <c r="AO47" s="94" t="s">
        <v>36</v>
      </c>
    </row>
    <row r="48" spans="3:41" s="94" customFormat="1" ht="33.75" x14ac:dyDescent="0.2">
      <c r="D48" s="94" t="str">
        <f>CONCATENATE(Parameters!$B$2,F48,CHAR(10),Parameters!$B$3,G48,CHAR(10),Parameters!$B$4,H48)</f>
        <v xml:space="preserve">GIVEN 
WHEN 
THEN </v>
      </c>
      <c r="M48" s="94" t="s">
        <v>289</v>
      </c>
      <c r="N48" s="94" t="s">
        <v>349</v>
      </c>
      <c r="O48" s="94" t="s">
        <v>244</v>
      </c>
      <c r="R48" s="94" t="s">
        <v>295</v>
      </c>
    </row>
    <row r="49" spans="3:41" s="94" customFormat="1" ht="33.75" x14ac:dyDescent="0.2">
      <c r="D49" s="94" t="str">
        <f>CONCATENATE(Parameters!$B$2,F49,CHAR(10),Parameters!$B$3,G49,CHAR(10),Parameters!$B$4,H49)</f>
        <v xml:space="preserve">GIVEN 
WHEN 
THEN </v>
      </c>
      <c r="M49" s="94" t="s">
        <v>289</v>
      </c>
      <c r="N49" s="94" t="s">
        <v>349</v>
      </c>
      <c r="O49" s="94" t="s">
        <v>244</v>
      </c>
      <c r="R49" s="94" t="s">
        <v>300</v>
      </c>
    </row>
    <row r="50" spans="3:41" s="94" customFormat="1" ht="33.75" x14ac:dyDescent="0.2">
      <c r="D50" s="94" t="str">
        <f>CONCATENATE(Parameters!$B$2,F50,CHAR(10),Parameters!$B$3,G50,CHAR(10),Parameters!$B$4,H50)</f>
        <v xml:space="preserve">GIVEN 
WHEN 
THEN </v>
      </c>
      <c r="M50" s="94" t="s">
        <v>289</v>
      </c>
      <c r="N50" s="94" t="s">
        <v>349</v>
      </c>
      <c r="O50" s="94" t="s">
        <v>244</v>
      </c>
      <c r="R50" s="94" t="s">
        <v>301</v>
      </c>
    </row>
    <row r="51" spans="3:41" s="94" customFormat="1" ht="33.75" x14ac:dyDescent="0.2">
      <c r="D51" s="94" t="str">
        <f>CONCATENATE(Parameters!$B$2,F51,CHAR(10),Parameters!$B$3,G51,CHAR(10),Parameters!$B$4,H51)</f>
        <v xml:space="preserve">GIVEN 
WHEN 
THEN </v>
      </c>
      <c r="M51" s="94" t="s">
        <v>289</v>
      </c>
      <c r="N51" s="94" t="s">
        <v>349</v>
      </c>
      <c r="O51" s="94" t="s">
        <v>244</v>
      </c>
      <c r="R51" s="94" t="s">
        <v>302</v>
      </c>
    </row>
    <row r="52" spans="3:41" s="94" customFormat="1" ht="33.75" x14ac:dyDescent="0.2">
      <c r="D52" s="94" t="str">
        <f>CONCATENATE(Parameters!$B$2,F52,CHAR(10),Parameters!$B$3,G52,CHAR(10),Parameters!$B$4,H52)</f>
        <v xml:space="preserve">GIVEN 
WHEN 
THEN </v>
      </c>
      <c r="M52" s="94" t="s">
        <v>289</v>
      </c>
      <c r="N52" s="94" t="s">
        <v>349</v>
      </c>
      <c r="O52" s="94" t="s">
        <v>244</v>
      </c>
      <c r="R52" s="94" t="s">
        <v>303</v>
      </c>
    </row>
    <row r="53" spans="3:41" s="94" customFormat="1" ht="33.75" x14ac:dyDescent="0.2">
      <c r="D53" s="94" t="str">
        <f>CONCATENATE(Parameters!$B$2,F53,CHAR(10),Parameters!$B$3,G53,CHAR(10),Parameters!$B$4,H53)</f>
        <v xml:space="preserve">GIVEN 
WHEN 
THEN </v>
      </c>
      <c r="M53" s="94" t="s">
        <v>289</v>
      </c>
      <c r="N53" s="94" t="s">
        <v>349</v>
      </c>
      <c r="O53" s="94" t="s">
        <v>244</v>
      </c>
      <c r="R53" s="94" t="s">
        <v>304</v>
      </c>
    </row>
    <row r="54" spans="3:41" s="94" customFormat="1" ht="33.75" x14ac:dyDescent="0.2">
      <c r="D54" s="94" t="str">
        <f>CONCATENATE(Parameters!$B$2,F54,CHAR(10),Parameters!$B$3,G54,CHAR(10),Parameters!$B$4,H54)</f>
        <v xml:space="preserve">GIVEN 
WHEN 
THEN </v>
      </c>
      <c r="M54" s="94" t="s">
        <v>289</v>
      </c>
      <c r="N54" s="94" t="s">
        <v>349</v>
      </c>
      <c r="O54" s="94" t="s">
        <v>244</v>
      </c>
      <c r="R54" s="94" t="s">
        <v>305</v>
      </c>
    </row>
    <row r="55" spans="3:41" s="94" customFormat="1" ht="33.75" x14ac:dyDescent="0.2">
      <c r="D55" s="94" t="str">
        <f>CONCATENATE(Parameters!$B$2,F55,CHAR(10),Parameters!$B$3,G55,CHAR(10),Parameters!$B$4,H55)</f>
        <v xml:space="preserve">GIVEN 
WHEN 
THEN </v>
      </c>
      <c r="M55" s="94" t="s">
        <v>289</v>
      </c>
      <c r="N55" s="94" t="s">
        <v>349</v>
      </c>
      <c r="O55" s="94" t="s">
        <v>244</v>
      </c>
      <c r="R55" s="94" t="s">
        <v>306</v>
      </c>
    </row>
    <row r="56" spans="3:41" s="94" customFormat="1" ht="33.75" x14ac:dyDescent="0.2">
      <c r="D56" s="94" t="str">
        <f>CONCATENATE(Parameters!$B$2,F56,CHAR(10),Parameters!$B$3,G56,CHAR(10),Parameters!$B$4,H56)</f>
        <v xml:space="preserve">GIVEN 
WHEN 
THEN </v>
      </c>
      <c r="M56" s="94" t="s">
        <v>289</v>
      </c>
      <c r="N56" s="94" t="s">
        <v>349</v>
      </c>
      <c r="O56" s="94" t="s">
        <v>244</v>
      </c>
      <c r="R56" s="94" t="s">
        <v>307</v>
      </c>
    </row>
    <row r="57" spans="3:41" s="94" customFormat="1" ht="33.75" x14ac:dyDescent="0.2">
      <c r="D57" s="94" t="str">
        <f>CONCATENATE(Parameters!$B$2,F57,CHAR(10),Parameters!$B$3,G57,CHAR(10),Parameters!$B$4,H57)</f>
        <v xml:space="preserve">GIVEN 
WHEN 
THEN </v>
      </c>
      <c r="M57" s="94" t="s">
        <v>289</v>
      </c>
      <c r="N57" s="94" t="s">
        <v>349</v>
      </c>
      <c r="O57" s="94" t="s">
        <v>244</v>
      </c>
      <c r="R57" s="94" t="s">
        <v>308</v>
      </c>
    </row>
    <row r="58" spans="3:41" s="94" customFormat="1" ht="33.75" x14ac:dyDescent="0.2">
      <c r="D58" s="94" t="str">
        <f>CONCATENATE(Parameters!$B$2,F58,CHAR(10),Parameters!$B$3,G58,CHAR(10),Parameters!$B$4,H58)</f>
        <v xml:space="preserve">GIVEN 
WHEN 
THEN </v>
      </c>
      <c r="M58" s="94" t="s">
        <v>289</v>
      </c>
      <c r="N58" s="94" t="s">
        <v>349</v>
      </c>
      <c r="O58" s="94" t="s">
        <v>244</v>
      </c>
      <c r="R58" s="94" t="s">
        <v>309</v>
      </c>
    </row>
    <row r="59" spans="3:41" s="94" customFormat="1" ht="33.75" x14ac:dyDescent="0.2">
      <c r="D59" s="94" t="str">
        <f>CONCATENATE(Parameters!$B$2,F59,CHAR(10),Parameters!$B$3,G59,CHAR(10),Parameters!$B$4,H59)</f>
        <v xml:space="preserve">GIVEN 
WHEN 
THEN </v>
      </c>
      <c r="M59" s="94" t="s">
        <v>289</v>
      </c>
      <c r="N59" s="94" t="s">
        <v>349</v>
      </c>
      <c r="O59" s="94" t="s">
        <v>244</v>
      </c>
      <c r="R59" s="94" t="s">
        <v>310</v>
      </c>
    </row>
    <row r="60" spans="3:41" s="94" customFormat="1" ht="67.5" x14ac:dyDescent="0.2">
      <c r="C60" s="94">
        <f t="shared" ca="1" si="15"/>
        <v>0</v>
      </c>
      <c r="D60" s="94" t="str">
        <f>CONCATENATE(Parameters!$B$2,F60,CHAR(10),Parameters!$B$3,G60,CHAR(10),Parameters!$B$4,H60)</f>
        <v>GIVEN logged in as Test Engineer to the system
WHEN working with your test sequence/test method you should be able to retrieve and add test cases built for other product classes(sites)
THEN Test cases should be added to your test sequence / test method</v>
      </c>
      <c r="F60" s="94" t="s">
        <v>269</v>
      </c>
      <c r="G60" s="94" t="s">
        <v>221</v>
      </c>
      <c r="H60" s="94" t="s">
        <v>190</v>
      </c>
      <c r="J60" s="94" t="s">
        <v>83</v>
      </c>
      <c r="M60" s="94" t="s">
        <v>289</v>
      </c>
      <c r="N60" s="94" t="s">
        <v>349</v>
      </c>
      <c r="O60" s="94" t="s">
        <v>244</v>
      </c>
      <c r="R60" s="94" t="s">
        <v>357</v>
      </c>
      <c r="W60" s="94">
        <f t="shared" si="16"/>
        <v>0</v>
      </c>
      <c r="X60" s="94">
        <f t="shared" si="17"/>
        <v>0</v>
      </c>
      <c r="Y60" s="94">
        <f t="shared" si="18"/>
        <v>0</v>
      </c>
      <c r="Z60" s="94">
        <f t="shared" si="19"/>
        <v>0</v>
      </c>
      <c r="AA60" s="94">
        <f t="shared" si="20"/>
        <v>0</v>
      </c>
      <c r="AB60" s="94">
        <f t="shared" si="21"/>
        <v>0</v>
      </c>
      <c r="AC60" s="94">
        <f t="shared" ca="1" si="22"/>
        <v>0</v>
      </c>
      <c r="AD60" s="94">
        <f>SQRT(SUM(Z$6:Z68))</f>
        <v>0</v>
      </c>
      <c r="AE60" s="94">
        <f t="shared" ca="1" si="23"/>
        <v>0</v>
      </c>
      <c r="AF60" s="94">
        <f t="shared" si="24"/>
        <v>0</v>
      </c>
      <c r="AG60" s="94">
        <f t="shared" ref="AG60:AG71" si="25">IFERROR(Z60/SUMIF(V$6:V$68,V60,Z$6:Z$68),0)</f>
        <v>0</v>
      </c>
      <c r="AH60" s="94">
        <f ca="1">IFERROR(IF(VLOOKUP($A60,Tasks!$X$4:$AC$30,COLUMN(Tasks!$Y$4)-COLUMN(Tasks!$X$4)+1,FALSE)&gt;0,1,0),0)</f>
        <v>0</v>
      </c>
      <c r="AI60" s="94">
        <f ca="1">IF(AH60,IFERROR(VLOOKUP($A60,Tasks!$X$4:$AC$30,COLUMN(Tasks!$Y$4)-COLUMN(Tasks!$X$4)+1,FALSE),0),W60)</f>
        <v>0</v>
      </c>
      <c r="AJ60" s="94">
        <f ca="1">IF(AH60,IFERROR(VLOOKUP($A60,Tasks!$X$4:$AC$30,COLUMN(Tasks!$AB$4)-COLUMN(Tasks!$X$4)+1,FALSE),0),AA60)</f>
        <v>0</v>
      </c>
      <c r="AK60" s="94">
        <f ca="1">IF(AH60,IFERROR(VLOOKUP($A60,Tasks!$X$4:$AC$30,COLUMN(Tasks!$AC$4)-COLUMN(Tasks!$X$4)+1,FALSE),0),AB60)</f>
        <v>0</v>
      </c>
      <c r="AO60" s="94" t="s">
        <v>36</v>
      </c>
    </row>
    <row r="61" spans="3:41" s="94" customFormat="1" ht="67.5" x14ac:dyDescent="0.2">
      <c r="C61" s="94" t="str">
        <f>AE61</f>
        <v>N/A</v>
      </c>
      <c r="D61" s="94" t="str">
        <f>CONCATENATE(Parameters!$B$2,F61,CHAR(10),Parameters!$B$3,G61,CHAR(10),Parameters!$B$4,H61)</f>
        <v>GIVEN logged in as Test Engineer to the system
WHEN there is a need I should be able to create a temporary test case
THEN your test case are available for use for your purpose only. It could be added to test methods that you are responsible for</v>
      </c>
      <c r="E61" s="94" t="s">
        <v>147</v>
      </c>
      <c r="F61" s="94" t="s">
        <v>269</v>
      </c>
      <c r="G61" s="94" t="s">
        <v>195</v>
      </c>
      <c r="H61" s="94" t="s">
        <v>196</v>
      </c>
      <c r="M61" s="94" t="s">
        <v>289</v>
      </c>
      <c r="N61" s="94" t="s">
        <v>349</v>
      </c>
      <c r="O61" s="94" t="s">
        <v>244</v>
      </c>
      <c r="R61" s="94" t="s">
        <v>146</v>
      </c>
      <c r="W61" s="94">
        <f>(S61+(3*U61)+T61)/5</f>
        <v>0</v>
      </c>
      <c r="X61" s="94">
        <f>SUMIF($P$6:$P$68,$P61,X$6:X$68)</f>
        <v>0</v>
      </c>
      <c r="Y61" s="94">
        <f>SQRT(SUMIF($P$6:$P$68,$P61,Z$6:Z$68))</f>
        <v>0</v>
      </c>
      <c r="Z61" s="94">
        <f>Y61*Y61</f>
        <v>0</v>
      </c>
      <c r="AA61" s="94">
        <f>ROUND(W61-(ROUND(SQRT(Z61),0)),0)</f>
        <v>0</v>
      </c>
      <c r="AB61" s="94">
        <f>ROUND(W61+(ROUND(SQRT(Z61),0)),0)</f>
        <v>0</v>
      </c>
      <c r="AC61" s="94" t="s">
        <v>25</v>
      </c>
      <c r="AD61" s="94" t="s">
        <v>25</v>
      </c>
      <c r="AE61" s="94" t="s">
        <v>25</v>
      </c>
      <c r="AF61" s="94">
        <f>IFERROR(Y61/W61,0)</f>
        <v>0</v>
      </c>
      <c r="AG61" s="94">
        <f t="shared" si="25"/>
        <v>0</v>
      </c>
      <c r="AO61" s="94" t="s">
        <v>36</v>
      </c>
    </row>
    <row r="62" spans="3:41" s="94" customFormat="1" ht="67.5" x14ac:dyDescent="0.2">
      <c r="C62" s="94" t="e">
        <f t="shared" ca="1" si="0"/>
        <v>#VALUE!</v>
      </c>
      <c r="D62" s="94" t="str">
        <f>CONCATENATE(Parameters!$B$2,F62,CHAR(10),Parameters!$B$3,G62,CHAR(10),Parameters!$B$4,H62)</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E62" s="94" t="s">
        <v>104</v>
      </c>
      <c r="F62" s="94" t="s">
        <v>273</v>
      </c>
      <c r="G62" s="94" t="s">
        <v>107</v>
      </c>
      <c r="H62" s="94" t="s">
        <v>105</v>
      </c>
      <c r="J62" s="94" t="s">
        <v>83</v>
      </c>
      <c r="M62" s="94" t="s">
        <v>289</v>
      </c>
      <c r="N62" s="94" t="s">
        <v>349</v>
      </c>
      <c r="O62" s="94" t="s">
        <v>244</v>
      </c>
      <c r="R62" s="94" t="s">
        <v>127</v>
      </c>
      <c r="W62" s="94">
        <f t="shared" si="1"/>
        <v>0</v>
      </c>
      <c r="X62" s="94">
        <f t="shared" si="13"/>
        <v>0</v>
      </c>
      <c r="Y62" s="94">
        <f t="shared" si="2"/>
        <v>0</v>
      </c>
      <c r="Z62" s="94">
        <f t="shared" si="3"/>
        <v>0</v>
      </c>
      <c r="AA62" s="94">
        <f t="shared" si="4"/>
        <v>0</v>
      </c>
      <c r="AB62" s="94">
        <f t="shared" si="5"/>
        <v>0</v>
      </c>
      <c r="AC62" s="94" t="e">
        <f t="shared" ca="1" si="14"/>
        <v>#VALUE!</v>
      </c>
      <c r="AD62" s="94">
        <f>SQRT(SUM(Z$6:Z62))</f>
        <v>0</v>
      </c>
      <c r="AE62" s="94" t="e">
        <f t="shared" ca="1" si="6"/>
        <v>#VALUE!</v>
      </c>
      <c r="AF62" s="94">
        <f t="shared" si="7"/>
        <v>0</v>
      </c>
      <c r="AG62" s="94">
        <f t="shared" si="25"/>
        <v>0</v>
      </c>
      <c r="AH62" s="94">
        <f ca="1">IFERROR(IF(VLOOKUP($A62,Tasks!$X$4:$AC$30,COLUMN(Tasks!$Y$4)-COLUMN(Tasks!$X$4)+1,FALSE)&gt;0,1,0),0)</f>
        <v>0</v>
      </c>
      <c r="AI62" s="94">
        <f ca="1">IF(AH62,IFERROR(VLOOKUP($A62,Tasks!$X$4:$AC$30,COLUMN(Tasks!$Y$4)-COLUMN(Tasks!$X$4)+1,FALSE),0),W62)</f>
        <v>0</v>
      </c>
      <c r="AJ62" s="94">
        <f ca="1">IF(AH62,IFERROR(VLOOKUP($A62,Tasks!$X$4:$AC$30,COLUMN(Tasks!$AB$4)-COLUMN(Tasks!$X$4)+1,FALSE),0),AA62)</f>
        <v>0</v>
      </c>
      <c r="AK62" s="94">
        <f ca="1">IF(AH62,IFERROR(VLOOKUP($A62,Tasks!$X$4:$AC$30,COLUMN(Tasks!$AC$4)-COLUMN(Tasks!$X$4)+1,FALSE),0),AB62)</f>
        <v>0</v>
      </c>
      <c r="AO62" s="94" t="s">
        <v>36</v>
      </c>
    </row>
    <row r="63" spans="3:41" s="94" customFormat="1" ht="56.25" x14ac:dyDescent="0.2">
      <c r="C63" s="94" t="e">
        <f t="shared" ca="1" si="0"/>
        <v>#VALUE!</v>
      </c>
      <c r="D63" s="94" t="str">
        <f>CONCATENATE(Parameters!$B$2,F63,CHAR(10),Parameters!$B$3,G63,CHAR(10),Parameters!$B$4,H63)</f>
        <v>GIVEN logged in as Master Editor to the system
WHEN Chosing a test sequence or a test case
THEN You should be able to see when test sequence or tests within the sequence were latest used. (This is needed to be able to sort\hide or remove test cases).</v>
      </c>
      <c r="E63" s="94" t="s">
        <v>104</v>
      </c>
      <c r="F63" s="94" t="s">
        <v>273</v>
      </c>
      <c r="G63" s="94" t="s">
        <v>106</v>
      </c>
      <c r="H63" s="94" t="s">
        <v>112</v>
      </c>
      <c r="J63" s="94" t="s">
        <v>83</v>
      </c>
      <c r="M63" s="94" t="s">
        <v>289</v>
      </c>
      <c r="N63" s="94" t="s">
        <v>349</v>
      </c>
      <c r="O63" s="94" t="s">
        <v>244</v>
      </c>
      <c r="R63" s="94" t="s">
        <v>126</v>
      </c>
      <c r="W63" s="94">
        <f t="shared" si="1"/>
        <v>0</v>
      </c>
      <c r="X63" s="94">
        <f t="shared" si="13"/>
        <v>0</v>
      </c>
      <c r="Y63" s="94">
        <f t="shared" si="2"/>
        <v>0</v>
      </c>
      <c r="Z63" s="94">
        <f t="shared" si="3"/>
        <v>0</v>
      </c>
      <c r="AA63" s="94">
        <f t="shared" si="4"/>
        <v>0</v>
      </c>
      <c r="AB63" s="94">
        <f t="shared" si="5"/>
        <v>0</v>
      </c>
      <c r="AC63" s="94" t="e">
        <f t="shared" ca="1" si="14"/>
        <v>#VALUE!</v>
      </c>
      <c r="AD63" s="94">
        <f>SQRT(SUM(Z$6:Z63))</f>
        <v>0</v>
      </c>
      <c r="AE63" s="94" t="e">
        <f t="shared" ca="1" si="6"/>
        <v>#VALUE!</v>
      </c>
      <c r="AF63" s="94">
        <f t="shared" si="7"/>
        <v>0</v>
      </c>
      <c r="AG63" s="94">
        <f t="shared" si="25"/>
        <v>0</v>
      </c>
      <c r="AH63" s="94">
        <f ca="1">IFERROR(IF(VLOOKUP($A63,Tasks!$X$4:$AC$30,COLUMN(Tasks!$Y$4)-COLUMN(Tasks!$X$4)+1,FALSE)&gt;0,1,0),0)</f>
        <v>0</v>
      </c>
      <c r="AI63" s="94">
        <f ca="1">IF(AH63,IFERROR(VLOOKUP($A63,Tasks!$X$4:$AC$30,COLUMN(Tasks!$Y$4)-COLUMN(Tasks!$X$4)+1,FALSE),0),W63)</f>
        <v>0</v>
      </c>
      <c r="AJ63" s="94">
        <f ca="1">IF(AH63,IFERROR(VLOOKUP($A63,Tasks!$X$4:$AC$30,COLUMN(Tasks!$AB$4)-COLUMN(Tasks!$X$4)+1,FALSE),0),AA63)</f>
        <v>0</v>
      </c>
      <c r="AK63" s="94">
        <f ca="1">IF(AH63,IFERROR(VLOOKUP($A63,Tasks!$X$4:$AC$30,COLUMN(Tasks!$AC$4)-COLUMN(Tasks!$X$4)+1,FALSE),0),AB63)</f>
        <v>0</v>
      </c>
      <c r="AO63" s="94" t="s">
        <v>36</v>
      </c>
    </row>
    <row r="64" spans="3:41" s="94" customFormat="1" ht="46.5" customHeight="1" x14ac:dyDescent="0.2">
      <c r="C64" s="94" t="e">
        <f t="shared" ca="1" si="0"/>
        <v>#VALUE!</v>
      </c>
      <c r="D64" s="94" t="str">
        <f>CONCATENATE(Parameters!$B$2,F64,CHAR(10),Parameters!$B$3,G64,CHAR(10),Parameters!$B$4,H64)</f>
        <v xml:space="preserve">GIVEN logged in as Master Editor to the system
WHEN 
THEN </v>
      </c>
      <c r="E64" s="94" t="s">
        <v>104</v>
      </c>
      <c r="F64" s="94" t="s">
        <v>273</v>
      </c>
      <c r="J64" s="94" t="s">
        <v>83</v>
      </c>
      <c r="M64" s="94" t="s">
        <v>289</v>
      </c>
      <c r="N64" s="94" t="s">
        <v>349</v>
      </c>
      <c r="O64" s="94" t="s">
        <v>244</v>
      </c>
      <c r="R64" s="94" t="s">
        <v>128</v>
      </c>
      <c r="W64" s="94">
        <f t="shared" si="1"/>
        <v>0</v>
      </c>
      <c r="X64" s="94">
        <f t="shared" si="13"/>
        <v>0</v>
      </c>
      <c r="Y64" s="94">
        <f t="shared" si="2"/>
        <v>0</v>
      </c>
      <c r="Z64" s="94">
        <f t="shared" si="3"/>
        <v>0</v>
      </c>
      <c r="AA64" s="94">
        <f t="shared" si="4"/>
        <v>0</v>
      </c>
      <c r="AB64" s="94">
        <f t="shared" si="5"/>
        <v>0</v>
      </c>
      <c r="AC64" s="94" t="e">
        <f t="shared" ca="1" si="14"/>
        <v>#VALUE!</v>
      </c>
      <c r="AD64" s="94">
        <f>SQRT(SUM(Z$6:Z64))</f>
        <v>0</v>
      </c>
      <c r="AE64" s="94" t="e">
        <f t="shared" ca="1" si="6"/>
        <v>#VALUE!</v>
      </c>
      <c r="AF64" s="94">
        <f t="shared" si="7"/>
        <v>0</v>
      </c>
      <c r="AG64" s="94">
        <f t="shared" si="25"/>
        <v>0</v>
      </c>
      <c r="AH64" s="94">
        <f ca="1">IFERROR(IF(VLOOKUP($A64,Tasks!$X$4:$AC$30,COLUMN(Tasks!$Y$4)-COLUMN(Tasks!$X$4)+1,FALSE)&gt;0,1,0),0)</f>
        <v>0</v>
      </c>
      <c r="AI64" s="94">
        <f ca="1">IF(AH64,IFERROR(VLOOKUP($A64,Tasks!$X$4:$AC$30,COLUMN(Tasks!$Y$4)-COLUMN(Tasks!$X$4)+1,FALSE),0),W64)</f>
        <v>0</v>
      </c>
      <c r="AJ64" s="94">
        <f ca="1">IF(AH64,IFERROR(VLOOKUP($A64,Tasks!$X$4:$AC$30,COLUMN(Tasks!$AB$4)-COLUMN(Tasks!$X$4)+1,FALSE),0),AA64)</f>
        <v>0</v>
      </c>
      <c r="AK64" s="94">
        <f ca="1">IF(AH64,IFERROR(VLOOKUP($A64,Tasks!$X$4:$AC$30,COLUMN(Tasks!$AC$4)-COLUMN(Tasks!$X$4)+1,FALSE),0),AB64)</f>
        <v>0</v>
      </c>
      <c r="AO64" s="94" t="s">
        <v>36</v>
      </c>
    </row>
    <row r="65" spans="3:41" s="94" customFormat="1" ht="33.75" x14ac:dyDescent="0.2">
      <c r="C65" s="94" t="e">
        <f t="shared" ca="1" si="0"/>
        <v>#VALUE!</v>
      </c>
      <c r="D65" s="94" t="str">
        <f>CONCATENATE(Parameters!$B$2,F65,CHAR(10),Parameters!$B$3,G65,CHAR(10),Parameters!$B$4,H65)</f>
        <v xml:space="preserve">GIVEN logged in as Local Editor to the system
WHEN HUR SKALL DETTA FUNKA!
THEN </v>
      </c>
      <c r="F65" s="94" t="s">
        <v>274</v>
      </c>
      <c r="G65" s="94" t="s">
        <v>212</v>
      </c>
      <c r="J65" s="94" t="s">
        <v>83</v>
      </c>
      <c r="M65" s="94" t="s">
        <v>289</v>
      </c>
      <c r="N65" s="94" t="s">
        <v>349</v>
      </c>
      <c r="O65" s="94" t="s">
        <v>244</v>
      </c>
      <c r="R65" s="94" t="s">
        <v>129</v>
      </c>
      <c r="W65" s="94">
        <f t="shared" si="1"/>
        <v>0</v>
      </c>
      <c r="X65" s="94">
        <f t="shared" si="13"/>
        <v>0</v>
      </c>
      <c r="Y65" s="94">
        <f t="shared" si="2"/>
        <v>0</v>
      </c>
      <c r="Z65" s="94">
        <f t="shared" si="3"/>
        <v>0</v>
      </c>
      <c r="AA65" s="94">
        <f t="shared" si="4"/>
        <v>0</v>
      </c>
      <c r="AB65" s="94">
        <f t="shared" si="5"/>
        <v>0</v>
      </c>
      <c r="AC65" s="94" t="e">
        <f t="shared" ca="1" si="14"/>
        <v>#VALUE!</v>
      </c>
      <c r="AD65" s="94">
        <f>SQRT(SUM(Z$6:Z65))</f>
        <v>0</v>
      </c>
      <c r="AE65" s="94" t="e">
        <f t="shared" ca="1" si="6"/>
        <v>#VALUE!</v>
      </c>
      <c r="AF65" s="94">
        <f t="shared" si="7"/>
        <v>0</v>
      </c>
      <c r="AG65" s="94">
        <f t="shared" si="25"/>
        <v>0</v>
      </c>
      <c r="AH65" s="94">
        <f ca="1">IFERROR(IF(VLOOKUP($A65,Tasks!$X$4:$AC$30,COLUMN(Tasks!$Y$4)-COLUMN(Tasks!$X$4)+1,FALSE)&gt;0,1,0),0)</f>
        <v>0</v>
      </c>
      <c r="AI65" s="94">
        <f ca="1">IF(AH65,IFERROR(VLOOKUP($A65,Tasks!$X$4:$AC$30,COLUMN(Tasks!$Y$4)-COLUMN(Tasks!$X$4)+1,FALSE),0),W65)</f>
        <v>0</v>
      </c>
      <c r="AJ65" s="94">
        <f ca="1">IF(AH65,IFERROR(VLOOKUP($A65,Tasks!$X$4:$AC$30,COLUMN(Tasks!$AB$4)-COLUMN(Tasks!$X$4)+1,FALSE),0),AA65)</f>
        <v>0</v>
      </c>
      <c r="AK65" s="94">
        <f ca="1">IF(AH65,IFERROR(VLOOKUP($A65,Tasks!$X$4:$AC$30,COLUMN(Tasks!$AC$4)-COLUMN(Tasks!$X$4)+1,FALSE),0),AB65)</f>
        <v>0</v>
      </c>
      <c r="AO65" s="94" t="s">
        <v>36</v>
      </c>
    </row>
    <row r="66" spans="3:41" s="94" customFormat="1" ht="33.75" x14ac:dyDescent="0.2">
      <c r="C66" s="94" t="e">
        <f t="shared" ca="1" si="0"/>
        <v>#VALUE!</v>
      </c>
      <c r="D66" s="94" t="str">
        <f>CONCATENATE(Parameters!$B$2,F66,CHAR(10),Parameters!$B$3,G66,CHAR(10),Parameters!$B$4,H66)</f>
        <v xml:space="preserve">GIVEN logged in as Test Engineer to the system
WHEN HUR SKALL DETTA FUNKA!
THEN </v>
      </c>
      <c r="E66" s="94" t="s">
        <v>155</v>
      </c>
      <c r="F66" s="94" t="s">
        <v>269</v>
      </c>
      <c r="G66" s="94" t="s">
        <v>212</v>
      </c>
      <c r="J66" s="94" t="s">
        <v>83</v>
      </c>
      <c r="M66" s="94" t="s">
        <v>289</v>
      </c>
      <c r="N66" s="94" t="s">
        <v>349</v>
      </c>
      <c r="O66" s="94" t="s">
        <v>244</v>
      </c>
      <c r="R66" s="94" t="s">
        <v>218</v>
      </c>
      <c r="W66" s="94">
        <f t="shared" si="1"/>
        <v>0</v>
      </c>
      <c r="X66" s="94">
        <f t="shared" si="13"/>
        <v>0</v>
      </c>
      <c r="Y66" s="94">
        <f t="shared" si="2"/>
        <v>0</v>
      </c>
      <c r="Z66" s="94">
        <f t="shared" si="3"/>
        <v>0</v>
      </c>
      <c r="AA66" s="94">
        <f t="shared" si="4"/>
        <v>0</v>
      </c>
      <c r="AB66" s="94">
        <f t="shared" si="5"/>
        <v>0</v>
      </c>
      <c r="AC66" s="94" t="e">
        <f t="shared" ca="1" si="14"/>
        <v>#VALUE!</v>
      </c>
      <c r="AD66" s="94">
        <f>SQRT(SUM(Z$6:Z66))</f>
        <v>0</v>
      </c>
      <c r="AE66" s="94" t="e">
        <f t="shared" ca="1" si="6"/>
        <v>#VALUE!</v>
      </c>
      <c r="AF66" s="94">
        <f t="shared" si="7"/>
        <v>0</v>
      </c>
      <c r="AG66" s="94">
        <f t="shared" si="25"/>
        <v>0</v>
      </c>
      <c r="AH66" s="94">
        <f ca="1">IFERROR(IF(VLOOKUP($A66,Tasks!$X$4:$AC$30,COLUMN(Tasks!$Y$4)-COLUMN(Tasks!$X$4)+1,FALSE)&gt;0,1,0),0)</f>
        <v>0</v>
      </c>
      <c r="AI66" s="94">
        <f ca="1">IF(AH66,IFERROR(VLOOKUP($A66,Tasks!$X$4:$AC$30,COLUMN(Tasks!$Y$4)-COLUMN(Tasks!$X$4)+1,FALSE),0),W66)</f>
        <v>0</v>
      </c>
      <c r="AJ66" s="94">
        <f ca="1">IF(AH66,IFERROR(VLOOKUP($A66,Tasks!$X$4:$AC$30,COLUMN(Tasks!$AB$4)-COLUMN(Tasks!$X$4)+1,FALSE),0),AA66)</f>
        <v>0</v>
      </c>
      <c r="AK66" s="94">
        <f ca="1">IF(AH66,IFERROR(VLOOKUP($A66,Tasks!$X$4:$AC$30,COLUMN(Tasks!$AC$4)-COLUMN(Tasks!$X$4)+1,FALSE),0),AB66)</f>
        <v>0</v>
      </c>
      <c r="AO66" s="94" t="s">
        <v>36</v>
      </c>
    </row>
    <row r="67" spans="3:41" s="94" customFormat="1" ht="45" x14ac:dyDescent="0.2">
      <c r="C67" s="94" t="e">
        <f t="shared" ca="1" si="0"/>
        <v>#VALUE!</v>
      </c>
      <c r="D67" s="94" t="str">
        <f>CONCATENATE(Parameters!$B$2,F67,CHAR(10),Parameters!$B$3,G67,CHAR(10),Parameters!$B$4,H67)</f>
        <v xml:space="preserve">GIVEN logged in as Test Engineer to the system
WHEN 
THEN </v>
      </c>
      <c r="E67" s="94" t="s">
        <v>155</v>
      </c>
      <c r="F67" s="94" t="s">
        <v>269</v>
      </c>
      <c r="J67" s="94" t="s">
        <v>83</v>
      </c>
      <c r="M67" s="94" t="s">
        <v>289</v>
      </c>
      <c r="N67" s="94" t="s">
        <v>349</v>
      </c>
      <c r="O67" s="94" t="s">
        <v>244</v>
      </c>
      <c r="R67" s="94" t="s">
        <v>136</v>
      </c>
      <c r="W67" s="94">
        <f t="shared" si="1"/>
        <v>0</v>
      </c>
      <c r="X67" s="94">
        <f t="shared" si="13"/>
        <v>0</v>
      </c>
      <c r="Y67" s="94">
        <f t="shared" si="2"/>
        <v>0</v>
      </c>
      <c r="Z67" s="94">
        <f t="shared" si="3"/>
        <v>0</v>
      </c>
      <c r="AA67" s="94">
        <f t="shared" si="4"/>
        <v>0</v>
      </c>
      <c r="AB67" s="94">
        <f t="shared" si="5"/>
        <v>0</v>
      </c>
      <c r="AC67" s="94" t="e">
        <f t="shared" ca="1" si="14"/>
        <v>#VALUE!</v>
      </c>
      <c r="AD67" s="94">
        <f>SQRT(SUM(Z$6:Z67))</f>
        <v>0</v>
      </c>
      <c r="AE67" s="94" t="e">
        <f t="shared" ca="1" si="6"/>
        <v>#VALUE!</v>
      </c>
      <c r="AF67" s="94">
        <f t="shared" si="7"/>
        <v>0</v>
      </c>
      <c r="AG67" s="94">
        <f t="shared" si="25"/>
        <v>0</v>
      </c>
      <c r="AH67" s="94">
        <f ca="1">IFERROR(IF(VLOOKUP($A67,Tasks!$X$4:$AC$30,COLUMN(Tasks!$Y$4)-COLUMN(Tasks!$X$4)+1,FALSE)&gt;0,1,0),0)</f>
        <v>0</v>
      </c>
      <c r="AI67" s="94">
        <f ca="1">IF(AH67,IFERROR(VLOOKUP($A67,Tasks!$X$4:$AC$30,COLUMN(Tasks!$Y$4)-COLUMN(Tasks!$X$4)+1,FALSE),0),W67)</f>
        <v>0</v>
      </c>
      <c r="AJ67" s="94">
        <f ca="1">IF(AH67,IFERROR(VLOOKUP($A67,Tasks!$X$4:$AC$30,COLUMN(Tasks!$AB$4)-COLUMN(Tasks!$X$4)+1,FALSE),0),AA67)</f>
        <v>0</v>
      </c>
      <c r="AK67" s="94">
        <f ca="1">IF(AH67,IFERROR(VLOOKUP($A67,Tasks!$X$4:$AC$30,COLUMN(Tasks!$AC$4)-COLUMN(Tasks!$X$4)+1,FALSE),0),AB67)</f>
        <v>0</v>
      </c>
      <c r="AO67" s="94" t="s">
        <v>36</v>
      </c>
    </row>
    <row r="68" spans="3:41" s="94" customFormat="1" ht="33.75" x14ac:dyDescent="0.2">
      <c r="C68" s="94" t="e">
        <f ca="1">AE68</f>
        <v>#VALUE!</v>
      </c>
      <c r="D68" s="94" t="str">
        <f>CONCATENATE(Parameters!$B$2,F68,CHAR(10),Parameters!$B$3,G68,CHAR(10),Parameters!$B$4,H68)</f>
        <v xml:space="preserve">GIVEN logged in as Local editor to the system
WHEN HUR SKALL DETTA FUNKA!
THEN </v>
      </c>
      <c r="F68" s="94" t="s">
        <v>268</v>
      </c>
      <c r="G68" s="94" t="s">
        <v>212</v>
      </c>
      <c r="J68" s="94" t="s">
        <v>83</v>
      </c>
      <c r="M68" s="94" t="s">
        <v>289</v>
      </c>
      <c r="N68" s="94" t="s">
        <v>349</v>
      </c>
      <c r="O68" s="94" t="s">
        <v>249</v>
      </c>
      <c r="R68" s="94" t="s">
        <v>130</v>
      </c>
      <c r="W68" s="94">
        <f>(S68+(3*U68)+T68)/5</f>
        <v>0</v>
      </c>
      <c r="X68" s="94">
        <f>IF(W68&gt;32,100,IF(W68&gt;16,32,IF(W68&gt;8,16,IF(W68&gt;4,8,IF(W68&gt;2,4,IF(W68&gt;1,2,IF(W68&gt;0,1,0)))))))</f>
        <v>0</v>
      </c>
      <c r="Y68" s="94">
        <f>(T68-S68)/5</f>
        <v>0</v>
      </c>
      <c r="Z68" s="94">
        <f>Y68*Y68</f>
        <v>0</v>
      </c>
      <c r="AA68" s="94">
        <f>ROUND(W68-(ROUND(SQRT(Z68),0)),0)</f>
        <v>0</v>
      </c>
      <c r="AB68" s="94">
        <f>ROUND(W68+(ROUND(SQRT(Z68),0)),0)</f>
        <v>0</v>
      </c>
      <c r="AC68" s="94" t="e">
        <f ca="1">IF(ROW(W68)=6,W68,W68+OFFSET(AC68,-1,0))</f>
        <v>#VALUE!</v>
      </c>
      <c r="AD68" s="94">
        <f>SQRT(SUM(Z$6:Z68))</f>
        <v>0</v>
      </c>
      <c r="AE68" s="94" t="e">
        <f ca="1">AC68+AD68</f>
        <v>#VALUE!</v>
      </c>
      <c r="AF68" s="94">
        <f>IFERROR(Y68/W68,0)</f>
        <v>0</v>
      </c>
      <c r="AG68" s="94">
        <f t="shared" si="25"/>
        <v>0</v>
      </c>
      <c r="AH68" s="94">
        <f ca="1">IFERROR(IF(VLOOKUP($A68,Tasks!$X$4:$AC$30,COLUMN(Tasks!$Y$4)-COLUMN(Tasks!$X$4)+1,FALSE)&gt;0,1,0),0)</f>
        <v>0</v>
      </c>
      <c r="AI68" s="94">
        <f ca="1">IF(AH68,IFERROR(VLOOKUP($A68,Tasks!$X$4:$AC$30,COLUMN(Tasks!$Y$4)-COLUMN(Tasks!$X$4)+1,FALSE),0),W68)</f>
        <v>0</v>
      </c>
      <c r="AJ68" s="94">
        <f ca="1">IF(AH68,IFERROR(VLOOKUP($A68,Tasks!$X$4:$AC$30,COLUMN(Tasks!$AB$4)-COLUMN(Tasks!$X$4)+1,FALSE),0),AA68)</f>
        <v>0</v>
      </c>
      <c r="AK68" s="94">
        <f ca="1">IF(AH68,IFERROR(VLOOKUP($A68,Tasks!$X$4:$AC$30,COLUMN(Tasks!$AC$4)-COLUMN(Tasks!$X$4)+1,FALSE),0),AB68)</f>
        <v>0</v>
      </c>
      <c r="AO68" s="94" t="s">
        <v>36</v>
      </c>
    </row>
    <row r="69" spans="3:41" s="94" customFormat="1" ht="33.75" x14ac:dyDescent="0.2">
      <c r="C69" s="94" t="str">
        <f t="shared" ref="C69:C71" si="26">AE69</f>
        <v>N/A</v>
      </c>
      <c r="D69" s="94" t="str">
        <f>CONCATENATE(Parameters!$B$2,F69,CHAR(10),Parameters!$B$3,G69,CHAR(10),Parameters!$B$4,H69)</f>
        <v xml:space="preserve">GIVEN logged in as Test Engineer to the system
WHEN HUR SKALL DETTA FUNKA?
THEN </v>
      </c>
      <c r="E69" s="94" t="s">
        <v>149</v>
      </c>
      <c r="F69" s="94" t="s">
        <v>269</v>
      </c>
      <c r="G69" s="94" t="s">
        <v>222</v>
      </c>
      <c r="M69" s="94" t="s">
        <v>289</v>
      </c>
      <c r="N69" s="94" t="s">
        <v>349</v>
      </c>
      <c r="O69" s="94" t="s">
        <v>252</v>
      </c>
      <c r="R69" s="94" t="s">
        <v>148</v>
      </c>
      <c r="W69" s="94">
        <f t="shared" ref="W69:W71" si="27">(S69+(3*U69)+T69)/5</f>
        <v>0</v>
      </c>
      <c r="X69" s="94">
        <f>SUMIF($P$6:$P$68,$P69,X$6:X$68)</f>
        <v>0</v>
      </c>
      <c r="Y69" s="94">
        <f>SQRT(SUMIF($P$6:$P$68,$P69,Z$6:Z$68))</f>
        <v>0</v>
      </c>
      <c r="Z69" s="94">
        <f t="shared" ref="Z69:Z71" si="28">Y69*Y69</f>
        <v>0</v>
      </c>
      <c r="AA69" s="94">
        <f t="shared" ref="AA69:AA71" si="29">ROUND(W69-(ROUND(SQRT(Z69),0)),0)</f>
        <v>0</v>
      </c>
      <c r="AB69" s="94">
        <f t="shared" ref="AB69:AB71" si="30">ROUND(W69+(ROUND(SQRT(Z69),0)),0)</f>
        <v>0</v>
      </c>
      <c r="AC69" s="94" t="s">
        <v>25</v>
      </c>
      <c r="AD69" s="94" t="s">
        <v>25</v>
      </c>
      <c r="AE69" s="94" t="s">
        <v>25</v>
      </c>
      <c r="AF69" s="94">
        <f t="shared" ref="AF69:AF71" si="31">IFERROR(Y69/W69,0)</f>
        <v>0</v>
      </c>
      <c r="AG69" s="94">
        <f t="shared" si="25"/>
        <v>0</v>
      </c>
      <c r="AO69" s="94" t="s">
        <v>36</v>
      </c>
    </row>
    <row r="70" spans="3:41" s="94" customFormat="1" ht="67.5" x14ac:dyDescent="0.2">
      <c r="C70" s="94" t="str">
        <f t="shared" si="26"/>
        <v>N/A</v>
      </c>
      <c r="D70" s="94" t="str">
        <f>CONCATENATE(Parameters!$B$2,F70,CHAR(10),Parameters!$B$3,G70,CHAR(10),Parameters!$B$4,H70)</f>
        <v>GIVEN logged in as Test Engineer to the system
WHEN specifying test cases  for a specific test, you should be able to filter test cases according to the vehicle specification
THEN a list with relevant test cases for the test to be executed.</v>
      </c>
      <c r="E70" s="94" t="s">
        <v>151</v>
      </c>
      <c r="F70" s="94" t="s">
        <v>269</v>
      </c>
      <c r="G70" s="94" t="s">
        <v>203</v>
      </c>
      <c r="H70" s="94" t="s">
        <v>202</v>
      </c>
      <c r="M70" s="94" t="s">
        <v>289</v>
      </c>
      <c r="N70" s="94" t="s">
        <v>349</v>
      </c>
      <c r="O70" s="94" t="s">
        <v>253</v>
      </c>
      <c r="R70" s="94" t="s">
        <v>150</v>
      </c>
      <c r="W70" s="94">
        <f t="shared" si="27"/>
        <v>0</v>
      </c>
      <c r="X70" s="94">
        <f>SUMIF($P$6:$P$68,$P70,X$6:X$68)</f>
        <v>0</v>
      </c>
      <c r="Y70" s="94">
        <f>SQRT(SUMIF($P$6:$P$68,$P70,Z$6:Z$68))</f>
        <v>0</v>
      </c>
      <c r="Z70" s="94">
        <f t="shared" si="28"/>
        <v>0</v>
      </c>
      <c r="AA70" s="94">
        <f t="shared" si="29"/>
        <v>0</v>
      </c>
      <c r="AB70" s="94">
        <f t="shared" si="30"/>
        <v>0</v>
      </c>
      <c r="AC70" s="94" t="s">
        <v>25</v>
      </c>
      <c r="AD70" s="94" t="s">
        <v>25</v>
      </c>
      <c r="AE70" s="94" t="s">
        <v>25</v>
      </c>
      <c r="AF70" s="94">
        <f t="shared" si="31"/>
        <v>0</v>
      </c>
      <c r="AG70" s="94">
        <f t="shared" si="25"/>
        <v>0</v>
      </c>
      <c r="AO70" s="94" t="s">
        <v>36</v>
      </c>
    </row>
    <row r="71" spans="3:41" s="94" customFormat="1" ht="56.25" x14ac:dyDescent="0.2">
      <c r="C71" s="94" t="str">
        <f t="shared" si="26"/>
        <v>N/A</v>
      </c>
      <c r="D71" s="94" t="str">
        <f>CONCATENATE(Parameters!$B$2,F71,CHAR(10),Parameters!$B$3,G71,CHAR(10),Parameters!$B$4,H71)</f>
        <v>GIVEN logged in as Test Engineer to the system
WHEN Identifying a potential error I would need a contact for the function not working.
THEN You should be presented with s contact person for the truck function\E2E function that you test.</v>
      </c>
      <c r="E71" s="94" t="s">
        <v>151</v>
      </c>
      <c r="F71" s="94" t="s">
        <v>269</v>
      </c>
      <c r="G71" s="94" t="s">
        <v>200</v>
      </c>
      <c r="H71" s="94" t="s">
        <v>201</v>
      </c>
      <c r="M71" s="94" t="s">
        <v>289</v>
      </c>
      <c r="N71" s="94" t="s">
        <v>349</v>
      </c>
      <c r="O71" s="94" t="s">
        <v>255</v>
      </c>
      <c r="R71" s="94" t="s">
        <v>152</v>
      </c>
      <c r="W71" s="94">
        <f t="shared" si="27"/>
        <v>0</v>
      </c>
      <c r="X71" s="94">
        <f>SUMIF($P$6:$P$68,$P71,X$6:X$68)</f>
        <v>0</v>
      </c>
      <c r="Y71" s="94">
        <f>SQRT(SUMIF($P$6:$P$68,$P71,Z$6:Z$68))</f>
        <v>0</v>
      </c>
      <c r="Z71" s="94">
        <f t="shared" si="28"/>
        <v>0</v>
      </c>
      <c r="AA71" s="94">
        <f t="shared" si="29"/>
        <v>0</v>
      </c>
      <c r="AB71" s="94">
        <f t="shared" si="30"/>
        <v>0</v>
      </c>
      <c r="AC71" s="94" t="s">
        <v>25</v>
      </c>
      <c r="AD71" s="94" t="s">
        <v>25</v>
      </c>
      <c r="AE71" s="94" t="s">
        <v>25</v>
      </c>
      <c r="AF71" s="94">
        <f t="shared" si="31"/>
        <v>0</v>
      </c>
      <c r="AG71" s="94">
        <f t="shared" si="25"/>
        <v>0</v>
      </c>
      <c r="AO71" s="94" t="s">
        <v>36</v>
      </c>
    </row>
    <row r="72" spans="3:41" s="94" customFormat="1" ht="56.25" x14ac:dyDescent="0.2">
      <c r="D72" s="94" t="str">
        <f>CONCATENATE(Parameters!$B$2,F72,CHAR(10),Parameters!$B$3,G72,CHAR(10),Parameters!$B$4,H72)</f>
        <v>GIVEN logged in as Test Engineer to the system
WHEN looking for same or similar test cases done for other product classes I should easily find them
THEN I should easily be able to extract them and also be able to see what protus reports are connected to them.</v>
      </c>
      <c r="E72" s="94" t="s">
        <v>151</v>
      </c>
      <c r="F72" s="94" t="s">
        <v>269</v>
      </c>
      <c r="G72" s="94" t="s">
        <v>230</v>
      </c>
      <c r="H72" s="94" t="s">
        <v>231</v>
      </c>
      <c r="M72" s="94" t="s">
        <v>289</v>
      </c>
      <c r="N72" s="94" t="s">
        <v>349</v>
      </c>
      <c r="O72" s="94" t="s">
        <v>242</v>
      </c>
      <c r="R72" s="94" t="s">
        <v>168</v>
      </c>
    </row>
    <row r="73" spans="3:41" s="94" customFormat="1" ht="67.5" x14ac:dyDescent="0.2">
      <c r="C73" s="94" t="str">
        <f>AE73</f>
        <v>N/A</v>
      </c>
      <c r="D73" s="94" t="str">
        <f>CONCATENATE(Parameters!$B$2,F73,CHAR(10),Parameters!$B$3,G73,CHAR(10),Parameters!$B$4,H73)</f>
        <v>GIVEN logged in as Test Engineer to the system
WHEN A test vehicle is assigned to the test request you should be able to view some vehicle information
THEN Looking at the vehicle info you should be presented with what is avaialable in Protom\protus \EDB(TCP integration?)</v>
      </c>
      <c r="E73" s="94" t="s">
        <v>154</v>
      </c>
      <c r="F73" s="94" t="s">
        <v>269</v>
      </c>
      <c r="G73" s="94" t="s">
        <v>198</v>
      </c>
      <c r="H73" s="94" t="s">
        <v>199</v>
      </c>
      <c r="M73" s="94" t="s">
        <v>289</v>
      </c>
      <c r="N73" s="94" t="s">
        <v>349</v>
      </c>
      <c r="O73" s="94" t="s">
        <v>256</v>
      </c>
      <c r="R73" s="94" t="s">
        <v>153</v>
      </c>
      <c r="W73" s="94">
        <f>(S73+(3*U73)+T73)/5</f>
        <v>0</v>
      </c>
      <c r="X73" s="94">
        <f>SUMIF($P$6:$P$68,$P73,X$6:X$68)</f>
        <v>0</v>
      </c>
      <c r="Y73" s="94">
        <f>SQRT(SUMIF($P$6:$P$68,$P73,Z$6:Z$68))</f>
        <v>0</v>
      </c>
      <c r="Z73" s="94">
        <f>Y73*Y73</f>
        <v>0</v>
      </c>
      <c r="AA73" s="94">
        <f>ROUND(W73-(ROUND(SQRT(Z73),0)),0)</f>
        <v>0</v>
      </c>
      <c r="AB73" s="94">
        <f>ROUND(W73+(ROUND(SQRT(Z73),0)),0)</f>
        <v>0</v>
      </c>
      <c r="AC73" s="94" t="s">
        <v>25</v>
      </c>
      <c r="AD73" s="94" t="s">
        <v>25</v>
      </c>
      <c r="AE73" s="94" t="s">
        <v>25</v>
      </c>
      <c r="AF73" s="94">
        <f>IFERROR(Y73/W73,0)</f>
        <v>0</v>
      </c>
      <c r="AG73" s="94">
        <f>IFERROR(Z73/SUMIF(V$6:V$68,V73,Z$6:Z$68),0)</f>
        <v>0</v>
      </c>
      <c r="AO73" s="94" t="s">
        <v>36</v>
      </c>
    </row>
    <row r="74" spans="3:41" s="94" customFormat="1" ht="33.75" x14ac:dyDescent="0.2">
      <c r="D74" s="94" t="str">
        <f>CONCATENATE(Parameters!$B$2,F74,CHAR(10),Parameters!$B$3,G74,CHAR(10),Parameters!$B$4,H74)</f>
        <v xml:space="preserve">GIVEN 
WHEN 
THEN </v>
      </c>
      <c r="M74" s="94" t="s">
        <v>289</v>
      </c>
      <c r="N74" s="94" t="s">
        <v>349</v>
      </c>
      <c r="O74" s="94" t="s">
        <v>85</v>
      </c>
      <c r="R74" s="95" t="s">
        <v>366</v>
      </c>
    </row>
    <row r="75" spans="3:41" s="94" customFormat="1" ht="33.75" x14ac:dyDescent="0.2">
      <c r="D75" s="94" t="str">
        <f>CONCATENATE(Parameters!$B$2,F75,CHAR(10),Parameters!$B$3,G75,CHAR(10),Parameters!$B$4,H75)</f>
        <v xml:space="preserve">GIVEN 
WHEN 
THEN </v>
      </c>
      <c r="M75" s="94" t="s">
        <v>289</v>
      </c>
      <c r="N75" s="94" t="s">
        <v>352</v>
      </c>
      <c r="O75" s="94" t="s">
        <v>353</v>
      </c>
      <c r="R75" s="94" t="s">
        <v>311</v>
      </c>
    </row>
    <row r="76" spans="3:41" s="94" customFormat="1" ht="33.75" x14ac:dyDescent="0.2">
      <c r="D76" s="94" t="str">
        <f>CONCATENATE(Parameters!$B$2,F76,CHAR(10),Parameters!$B$3,G76,CHAR(10),Parameters!$B$4,H76)</f>
        <v xml:space="preserve">GIVEN 
WHEN 
THEN </v>
      </c>
      <c r="M76" s="94" t="s">
        <v>289</v>
      </c>
      <c r="N76" s="94" t="s">
        <v>352</v>
      </c>
      <c r="O76" s="94" t="s">
        <v>353</v>
      </c>
      <c r="R76" s="94" t="s">
        <v>312</v>
      </c>
    </row>
    <row r="77" spans="3:41" s="94" customFormat="1" ht="33.75" x14ac:dyDescent="0.2">
      <c r="D77" s="94" t="str">
        <f>CONCATENATE(Parameters!$B$2,F77,CHAR(10),Parameters!$B$3,G77,CHAR(10),Parameters!$B$4,H77)</f>
        <v xml:space="preserve">GIVEN 
WHEN 
THEN </v>
      </c>
      <c r="M77" s="94" t="s">
        <v>289</v>
      </c>
      <c r="N77" s="94" t="s">
        <v>352</v>
      </c>
      <c r="O77" s="94" t="s">
        <v>353</v>
      </c>
      <c r="R77" s="94" t="s">
        <v>313</v>
      </c>
    </row>
    <row r="78" spans="3:41" s="94" customFormat="1" ht="33.75" x14ac:dyDescent="0.2">
      <c r="D78" s="94" t="str">
        <f>CONCATENATE(Parameters!$B$2,F78,CHAR(10),Parameters!$B$3,G78,CHAR(10),Parameters!$B$4,H78)</f>
        <v xml:space="preserve">GIVEN 
WHEN 
THEN </v>
      </c>
      <c r="M78" s="94" t="s">
        <v>289</v>
      </c>
      <c r="N78" s="94" t="s">
        <v>352</v>
      </c>
      <c r="O78" s="94" t="s">
        <v>353</v>
      </c>
      <c r="R78" s="94" t="s">
        <v>320</v>
      </c>
    </row>
    <row r="79" spans="3:41" s="94" customFormat="1" ht="33.75" x14ac:dyDescent="0.2">
      <c r="D79" s="94" t="str">
        <f>CONCATENATE(Parameters!$B$2,F79,CHAR(10),Parameters!$B$3,G79,CHAR(10),Parameters!$B$4,H79)</f>
        <v xml:space="preserve">GIVEN logged in as Test Engineer to the system
WHEN 
THEN </v>
      </c>
      <c r="E79" s="94" t="s">
        <v>179</v>
      </c>
      <c r="F79" s="94" t="s">
        <v>269</v>
      </c>
      <c r="M79" s="94" t="s">
        <v>289</v>
      </c>
      <c r="N79" s="94" t="s">
        <v>367</v>
      </c>
      <c r="O79" s="94" t="s">
        <v>285</v>
      </c>
      <c r="R79" s="94" t="s">
        <v>284</v>
      </c>
    </row>
    <row r="80" spans="3:41" s="94" customFormat="1" ht="56.25" x14ac:dyDescent="0.2">
      <c r="D80" s="94" t="str">
        <f>CONCATENATE(Parameters!$B$2,F80,CHAR(10),Parameters!$B$3,G80,CHAR(10),Parameters!$B$4,H80)</f>
        <v>GIVEN logged in as Global Responsible to the system
WHEN looking at how a truck function is tested globally, 
THEN you should be presented with how this truck function is tested on all Group Trucks products independent of solution(test case, description,expected result?).</v>
      </c>
      <c r="E80" s="94" t="s">
        <v>173</v>
      </c>
      <c r="F80" s="94" t="s">
        <v>276</v>
      </c>
      <c r="G80" s="94" t="s">
        <v>235</v>
      </c>
      <c r="H80" s="94" t="s">
        <v>238</v>
      </c>
      <c r="M80" s="94" t="s">
        <v>289</v>
      </c>
      <c r="N80" s="94" t="s">
        <v>367</v>
      </c>
      <c r="O80" s="94" t="s">
        <v>263</v>
      </c>
      <c r="R80" s="94" t="s">
        <v>172</v>
      </c>
    </row>
    <row r="81" spans="3:41" s="94" customFormat="1" ht="33.75" x14ac:dyDescent="0.2">
      <c r="D81" s="94" t="str">
        <f>CONCATENATE(Parameters!$B$2,F81,CHAR(10),Parameters!$B$3,G81,CHAR(10),Parameters!$B$4,H81)</f>
        <v xml:space="preserve">GIVEN 
WHEN 
THEN </v>
      </c>
      <c r="M81" s="94" t="s">
        <v>289</v>
      </c>
      <c r="N81" s="94" t="s">
        <v>367</v>
      </c>
      <c r="O81" s="94" t="s">
        <v>85</v>
      </c>
      <c r="R81" s="95" t="s">
        <v>365</v>
      </c>
    </row>
    <row r="82" spans="3:41" s="94" customFormat="1" ht="33.75" x14ac:dyDescent="0.2">
      <c r="D82" s="94" t="str">
        <f>CONCATENATE(Parameters!$B$2,F82,CHAR(10),Parameters!$B$3,G82,CHAR(10),Parameters!$B$4,H82)</f>
        <v xml:space="preserve">GIVEN logged in as Test Engineer to the system
WHEN 
THEN </v>
      </c>
      <c r="E82" s="94" t="s">
        <v>155</v>
      </c>
      <c r="F82" s="94" t="s">
        <v>269</v>
      </c>
      <c r="M82" s="94" t="s">
        <v>291</v>
      </c>
      <c r="N82" s="94" t="s">
        <v>291</v>
      </c>
      <c r="O82" s="94" t="s">
        <v>261</v>
      </c>
      <c r="R82" s="94" t="s">
        <v>171</v>
      </c>
    </row>
    <row r="83" spans="3:41" s="94" customFormat="1" ht="33.75" x14ac:dyDescent="0.2">
      <c r="C83" s="94">
        <f t="shared" ref="C83:C86" si="32">AE83</f>
        <v>0</v>
      </c>
      <c r="D83" s="94" t="str">
        <f>CONCATENATE(Parameters!$B$2,F83,CHAR(10),Parameters!$B$3,G83,CHAR(10),Parameters!$B$4,H83)</f>
        <v xml:space="preserve">GIVEN logged in as Test Engineer to the system
WHEN HUR SKALL DETTA FUNKA?
THEN </v>
      </c>
      <c r="E83" s="94" t="s">
        <v>155</v>
      </c>
      <c r="F83" s="94" t="s">
        <v>269</v>
      </c>
      <c r="G83" s="94" t="s">
        <v>222</v>
      </c>
      <c r="M83" s="94" t="s">
        <v>291</v>
      </c>
      <c r="N83" s="94" t="s">
        <v>291</v>
      </c>
      <c r="O83" s="94" t="s">
        <v>232</v>
      </c>
      <c r="R83" s="94" t="s">
        <v>156</v>
      </c>
      <c r="AA83" s="94">
        <f t="shared" ref="AA83:AA86" si="33">ROUND(W83-(ROUND(SQRT(Z83),0)),0)</f>
        <v>0</v>
      </c>
      <c r="AB83" s="94">
        <f t="shared" ref="AB83:AB86" si="34">ROUND(W83+(ROUND(SQRT(Z83),0)),0)</f>
        <v>0</v>
      </c>
      <c r="AF83" s="94">
        <f t="shared" ref="AF83:AF86" si="35">IFERROR(Y83/W83,0)</f>
        <v>0</v>
      </c>
      <c r="AG83" s="94">
        <f>IFERROR(Z83/SUMIF(V$6:V$68,V83,Z$6:Z$68),0)</f>
        <v>0</v>
      </c>
      <c r="AO83" s="94" t="s">
        <v>36</v>
      </c>
    </row>
    <row r="84" spans="3:41" s="94" customFormat="1" ht="33.75" x14ac:dyDescent="0.2">
      <c r="C84" s="94">
        <f t="shared" si="32"/>
        <v>0</v>
      </c>
      <c r="D84" s="94" t="str">
        <f>CONCATENATE(Parameters!$B$2,F84,CHAR(10),Parameters!$B$3,G84,CHAR(10),Parameters!$B$4,H84)</f>
        <v xml:space="preserve">GIVEN logged in as Test Engineer to the system
WHEN HUR SKALL DETTA FUNKA?
THEN </v>
      </c>
      <c r="E84" s="94" t="s">
        <v>155</v>
      </c>
      <c r="F84" s="94" t="s">
        <v>269</v>
      </c>
      <c r="G84" s="94" t="s">
        <v>222</v>
      </c>
      <c r="M84" s="94" t="s">
        <v>291</v>
      </c>
      <c r="N84" s="94" t="s">
        <v>291</v>
      </c>
      <c r="O84" s="94" t="s">
        <v>232</v>
      </c>
      <c r="R84" s="94" t="s">
        <v>157</v>
      </c>
      <c r="AA84" s="94">
        <f t="shared" si="33"/>
        <v>0</v>
      </c>
      <c r="AB84" s="94">
        <f t="shared" si="34"/>
        <v>0</v>
      </c>
      <c r="AF84" s="94">
        <f t="shared" si="35"/>
        <v>0</v>
      </c>
      <c r="AG84" s="94">
        <f>IFERROR(Z84/SUMIF(V$6:V$68,V84,Z$6:Z$68),0)</f>
        <v>0</v>
      </c>
      <c r="AO84" s="94" t="s">
        <v>36</v>
      </c>
    </row>
    <row r="85" spans="3:41" s="94" customFormat="1" ht="45" x14ac:dyDescent="0.2">
      <c r="C85" s="94">
        <f t="shared" si="32"/>
        <v>0</v>
      </c>
      <c r="D85" s="94" t="str">
        <f>CONCATENATE(Parameters!$B$2,F85,CHAR(10),Parameters!$B$3,G85,CHAR(10),Parameters!$B$4,H85)</f>
        <v xml:space="preserve">GIVEN logged in as Test Engineer to the system
WHEN WOULD YOU LIKE TEST ENGINEER AND TESTER IN THE SAME SYSTEM?
THEN </v>
      </c>
      <c r="E85" s="94" t="s">
        <v>155</v>
      </c>
      <c r="F85" s="94" t="s">
        <v>269</v>
      </c>
      <c r="G85" s="94" t="s">
        <v>223</v>
      </c>
      <c r="M85" s="94" t="s">
        <v>291</v>
      </c>
      <c r="N85" s="94" t="s">
        <v>291</v>
      </c>
      <c r="O85" s="94" t="s">
        <v>258</v>
      </c>
      <c r="R85" s="94" t="s">
        <v>220</v>
      </c>
      <c r="AA85" s="94">
        <f t="shared" si="33"/>
        <v>0</v>
      </c>
      <c r="AB85" s="94">
        <f t="shared" si="34"/>
        <v>0</v>
      </c>
      <c r="AF85" s="94">
        <f t="shared" si="35"/>
        <v>0</v>
      </c>
      <c r="AG85" s="94">
        <f>IFERROR(Z85/SUMIF(V$6:V$68,V85,Z$6:Z$68),0)</f>
        <v>0</v>
      </c>
      <c r="AO85" s="94" t="s">
        <v>36</v>
      </c>
    </row>
    <row r="86" spans="3:41" s="94" customFormat="1" ht="56.25" x14ac:dyDescent="0.2">
      <c r="C86" s="94">
        <f t="shared" si="32"/>
        <v>0</v>
      </c>
      <c r="D86" s="94" t="str">
        <f>CONCATENATE(Parameters!$B$2,F86,CHAR(10),Parameters!$B$3,G86,CHAR(10),Parameters!$B$4,H86)</f>
        <v>GIVEN logged in as Tester to the system
WHEN Performing tests , it should be possible to schedule a test case for a specific amount of time
THEN The test case should appear after the scheduled time. Business rules around this needs to be discussed.</v>
      </c>
      <c r="E86" s="94" t="s">
        <v>154</v>
      </c>
      <c r="F86" s="94" t="s">
        <v>277</v>
      </c>
      <c r="G86" s="94" t="s">
        <v>206</v>
      </c>
      <c r="H86" s="94" t="s">
        <v>207</v>
      </c>
      <c r="M86" s="94" t="s">
        <v>291</v>
      </c>
      <c r="N86" s="94" t="s">
        <v>291</v>
      </c>
      <c r="O86" s="94" t="s">
        <v>258</v>
      </c>
      <c r="R86" s="94" t="s">
        <v>160</v>
      </c>
      <c r="AA86" s="94">
        <f t="shared" si="33"/>
        <v>0</v>
      </c>
      <c r="AB86" s="94">
        <f t="shared" si="34"/>
        <v>0</v>
      </c>
      <c r="AF86" s="94">
        <f t="shared" si="35"/>
        <v>0</v>
      </c>
      <c r="AG86" s="94">
        <f>IFERROR(Z86/SUMIF(V$6:V$68,V86,Z$6:Z$68),0)</f>
        <v>0</v>
      </c>
      <c r="AO86" s="94" t="s">
        <v>36</v>
      </c>
    </row>
    <row r="87" spans="3:41" s="94" customFormat="1" ht="33.75" x14ac:dyDescent="0.2">
      <c r="D87" s="94" t="str">
        <f>CONCATENATE(Parameters!$B$2,F87,CHAR(10),Parameters!$B$3,G87,CHAR(10),Parameters!$B$4,H87)</f>
        <v xml:space="preserve">GIVEN logged in as Tester to the system
WHEN WHAT IS THE PURPOSE?
THEN </v>
      </c>
      <c r="E87" s="94" t="s">
        <v>154</v>
      </c>
      <c r="F87" s="94" t="s">
        <v>277</v>
      </c>
      <c r="G87" s="94" t="s">
        <v>208</v>
      </c>
      <c r="M87" s="94" t="s">
        <v>291</v>
      </c>
      <c r="N87" s="94" t="s">
        <v>291</v>
      </c>
      <c r="O87" s="94" t="s">
        <v>258</v>
      </c>
      <c r="R87" s="94" t="s">
        <v>161</v>
      </c>
    </row>
    <row r="88" spans="3:41" s="94" customFormat="1" ht="33.75" x14ac:dyDescent="0.2">
      <c r="D88" s="94" t="str">
        <f>CONCATENATE(Parameters!$B$2,F88,CHAR(10),Parameters!$B$3,G88,CHAR(10),Parameters!$B$4,H88)</f>
        <v xml:space="preserve">GIVEN logged in as Tester to the system
WHEN HUR SKALL DETTA FUNKA!
THEN </v>
      </c>
      <c r="E88" s="94" t="s">
        <v>151</v>
      </c>
      <c r="F88" s="94" t="s">
        <v>277</v>
      </c>
      <c r="G88" s="94" t="s">
        <v>212</v>
      </c>
      <c r="M88" s="94" t="s">
        <v>291</v>
      </c>
      <c r="N88" s="94" t="s">
        <v>291</v>
      </c>
      <c r="O88" s="94" t="s">
        <v>258</v>
      </c>
      <c r="R88" s="94" t="s">
        <v>162</v>
      </c>
    </row>
    <row r="89" spans="3:41" s="94" customFormat="1" ht="45" x14ac:dyDescent="0.2">
      <c r="D89" s="94" t="str">
        <f>CONCATENATE(Parameters!$B$2,F89,CHAR(10),Parameters!$B$3,G89,CHAR(10),Parameters!$B$4,H89)</f>
        <v>GIVEN logged in as Tester to the system
WHEN performing tests I should be able to view TAGS for a specific test case
THEN You should be able to view TAGS for test cases</v>
      </c>
      <c r="E89" s="94" t="s">
        <v>151</v>
      </c>
      <c r="F89" s="94" t="s">
        <v>277</v>
      </c>
      <c r="G89" s="94" t="s">
        <v>209</v>
      </c>
      <c r="H89" s="94" t="s">
        <v>210</v>
      </c>
      <c r="M89" s="94" t="s">
        <v>291</v>
      </c>
      <c r="N89" s="94" t="s">
        <v>291</v>
      </c>
      <c r="O89" s="94" t="s">
        <v>258</v>
      </c>
      <c r="R89" s="94" t="s">
        <v>163</v>
      </c>
    </row>
    <row r="90" spans="3:41" s="94" customFormat="1" ht="45" x14ac:dyDescent="0.2">
      <c r="D90" s="94" t="str">
        <f>CONCATENATE(Parameters!$B$2,F90,CHAR(10),Parameters!$B$3,G90,CHAR(10),Parameters!$B$4,H90)</f>
        <v>GIVEN logged in as Tester to the system
WHEN Performing your test you should have access to pictures uploaded to the test case.
THEN if you click on a picture it should be visible for you.</v>
      </c>
      <c r="E90" s="94" t="s">
        <v>151</v>
      </c>
      <c r="F90" s="94" t="s">
        <v>277</v>
      </c>
      <c r="G90" s="94" t="s">
        <v>226</v>
      </c>
      <c r="H90" s="94" t="s">
        <v>227</v>
      </c>
      <c r="M90" s="94" t="s">
        <v>291</v>
      </c>
      <c r="N90" s="94" t="s">
        <v>291</v>
      </c>
      <c r="O90" s="94" t="s">
        <v>258</v>
      </c>
      <c r="R90" s="94" t="s">
        <v>164</v>
      </c>
    </row>
    <row r="91" spans="3:41" s="94" customFormat="1" ht="56.25" x14ac:dyDescent="0.2">
      <c r="D91" s="94" t="str">
        <f>CONCATENATE(Parameters!$B$2,F91,CHAR(10),Parameters!$B$3,G91,CHAR(10),Parameters!$B$4,H91)</f>
        <v>GIVEN logged in as Tester to the system
WHEN performing test execution I should be able to decide what test cases I want to execute at the moment.
THEN It should be possible to decide tests as long as there is no "strict sequence of tests"</v>
      </c>
      <c r="E91" s="94" t="s">
        <v>154</v>
      </c>
      <c r="F91" s="94" t="s">
        <v>277</v>
      </c>
      <c r="G91" s="94" t="s">
        <v>216</v>
      </c>
      <c r="H91" s="94" t="s">
        <v>217</v>
      </c>
      <c r="M91" s="94" t="s">
        <v>291</v>
      </c>
      <c r="N91" s="94" t="s">
        <v>291</v>
      </c>
      <c r="O91" s="94" t="s">
        <v>258</v>
      </c>
      <c r="R91" s="94" t="s">
        <v>165</v>
      </c>
    </row>
    <row r="92" spans="3:41" s="94" customFormat="1" ht="33.75" x14ac:dyDescent="0.2">
      <c r="D92" s="94" t="str">
        <f>CONCATENATE(Parameters!$B$2,F92,CHAR(10),Parameters!$B$3,G92,CHAR(10),Parameters!$B$4,H92)</f>
        <v xml:space="preserve">GIVEN logged in as Test Engineer to the system
WHEN 
THEN </v>
      </c>
      <c r="E92" s="94" t="s">
        <v>179</v>
      </c>
      <c r="F92" s="94" t="s">
        <v>269</v>
      </c>
      <c r="M92" s="94" t="s">
        <v>291</v>
      </c>
      <c r="N92" s="94" t="s">
        <v>291</v>
      </c>
      <c r="O92" s="94" t="s">
        <v>261</v>
      </c>
      <c r="R92" s="94" t="s">
        <v>180</v>
      </c>
    </row>
    <row r="93" spans="3:41" s="94" customFormat="1" ht="33.75" x14ac:dyDescent="0.2">
      <c r="D93" s="94" t="str">
        <f>CONCATENATE(Parameters!$B$2,F93,CHAR(10),Parameters!$B$3,G93,CHAR(10),Parameters!$B$4,H93)</f>
        <v xml:space="preserve">GIVEN logged in as Test Engineer to the system
WHEN 
THEN </v>
      </c>
      <c r="F93" s="94" t="s">
        <v>269</v>
      </c>
      <c r="M93" s="94" t="s">
        <v>291</v>
      </c>
      <c r="N93" s="94" t="s">
        <v>291</v>
      </c>
      <c r="O93" s="94" t="s">
        <v>261</v>
      </c>
      <c r="R93" s="94" t="s">
        <v>181</v>
      </c>
    </row>
    <row r="94" spans="3:41" s="94" customFormat="1" ht="135" x14ac:dyDescent="0.2">
      <c r="D94" s="94" t="str">
        <f>CONCATENATE(Parameters!$B$2,F94,CHAR(10),Parameters!$B$3,G94,CHAR(10),Parameters!$B$4,H94)</f>
        <v>GIVEN logged in as Test Engineer to the system
WHEN chosing to create a test diary
THEN you should be able to create a test diary for a specific test and there you should be able to: 
-register test progress(graphs) possibility to add comments why test is delayed
- TF status, 
-faults reported, 
-fuel sheet
-shift comments
It should be easily exported so It could be shared easily</v>
      </c>
      <c r="F94" s="94" t="s">
        <v>269</v>
      </c>
      <c r="G94" s="94" t="s">
        <v>228</v>
      </c>
      <c r="H94" s="94" t="s">
        <v>229</v>
      </c>
      <c r="M94" s="94" t="s">
        <v>291</v>
      </c>
      <c r="N94" s="94" t="s">
        <v>291</v>
      </c>
      <c r="O94" s="94" t="s">
        <v>260</v>
      </c>
      <c r="R94" s="94" t="s">
        <v>167</v>
      </c>
    </row>
    <row r="95" spans="3:41" s="94" customFormat="1" ht="33.75" x14ac:dyDescent="0.2">
      <c r="D95" s="94" t="str">
        <f>CONCATENATE(Parameters!$B$2,F95,CHAR(10),Parameters!$B$3,G95,CHAR(10),Parameters!$B$4,H95)</f>
        <v xml:space="preserve">GIVEN logged in as Test Engineer to the system
WHEN ???
THEN </v>
      </c>
      <c r="E95" s="94" t="s">
        <v>155</v>
      </c>
      <c r="F95" s="94" t="s">
        <v>269</v>
      </c>
      <c r="G95" s="94" t="s">
        <v>232</v>
      </c>
      <c r="M95" s="94" t="s">
        <v>291</v>
      </c>
      <c r="N95" s="94" t="s">
        <v>291</v>
      </c>
      <c r="O95" s="94" t="s">
        <v>261</v>
      </c>
      <c r="R95" s="94" t="s">
        <v>169</v>
      </c>
    </row>
    <row r="96" spans="3:41" s="94" customFormat="1" ht="56.25" x14ac:dyDescent="0.2">
      <c r="D96" s="94" t="str">
        <f>CONCATENATE(Parameters!$B$2,F96,CHAR(10),Parameters!$B$3,G96,CHAR(10),Parameters!$B$4,H96)</f>
        <v xml:space="preserve">GIVEN logged in as Test Engineer to the system
WHEN 
THEN </v>
      </c>
      <c r="E96" s="94" t="s">
        <v>173</v>
      </c>
      <c r="F96" s="94" t="s">
        <v>269</v>
      </c>
      <c r="M96" s="94" t="s">
        <v>291</v>
      </c>
      <c r="N96" s="94" t="s">
        <v>291</v>
      </c>
      <c r="O96" s="94" t="s">
        <v>261</v>
      </c>
      <c r="R96" s="94" t="s">
        <v>177</v>
      </c>
    </row>
    <row r="97" spans="3:41" s="94" customFormat="1" ht="33.75" x14ac:dyDescent="0.2">
      <c r="D97" s="94" t="str">
        <f>CONCATENATE(Parameters!$B$2,E97,CHAR(10),Parameters!$B$3,G97,CHAR(10),Parameters!$B$4,H97)</f>
        <v xml:space="preserve">GIVEN Usha Rani
WHEN 
THEN </v>
      </c>
      <c r="E97" s="94" t="s">
        <v>188</v>
      </c>
      <c r="F97" s="94" t="s">
        <v>269</v>
      </c>
      <c r="M97" s="94" t="s">
        <v>291</v>
      </c>
      <c r="N97" s="94" t="s">
        <v>291</v>
      </c>
      <c r="O97" s="94" t="s">
        <v>261</v>
      </c>
      <c r="R97" s="94" t="s">
        <v>182</v>
      </c>
    </row>
    <row r="98" spans="3:41" s="94" customFormat="1" ht="33.75" x14ac:dyDescent="0.2">
      <c r="D98" s="94" t="str">
        <f>CONCATENATE(Parameters!$B$2,E98,CHAR(10),Parameters!$B$3,G98,CHAR(10),Parameters!$B$4,H98)</f>
        <v xml:space="preserve">GIVEN Usha Rani, Jessica Erlandsson
WHEN 
THEN </v>
      </c>
      <c r="E98" s="94" t="s">
        <v>189</v>
      </c>
      <c r="F98" s="94" t="s">
        <v>269</v>
      </c>
      <c r="M98" s="94" t="s">
        <v>291</v>
      </c>
      <c r="N98" s="94" t="s">
        <v>291</v>
      </c>
      <c r="O98" s="94" t="s">
        <v>261</v>
      </c>
      <c r="R98" s="94" t="s">
        <v>183</v>
      </c>
    </row>
    <row r="99" spans="3:41" s="94" customFormat="1" ht="33.75" x14ac:dyDescent="0.2">
      <c r="D99" s="94" t="str">
        <f>CONCATENATE(Parameters!$B$2,E99,CHAR(10),Parameters!$B$3,G99,CHAR(10),Parameters!$B$4,H99)</f>
        <v xml:space="preserve">GIVEN Usha Rani
WHEN 
THEN </v>
      </c>
      <c r="E99" s="94" t="s">
        <v>188</v>
      </c>
      <c r="F99" s="94" t="s">
        <v>269</v>
      </c>
      <c r="M99" s="94" t="s">
        <v>291</v>
      </c>
      <c r="N99" s="94" t="s">
        <v>291</v>
      </c>
      <c r="O99" s="94" t="s">
        <v>261</v>
      </c>
      <c r="R99" s="94" t="s">
        <v>185</v>
      </c>
    </row>
    <row r="100" spans="3:41" s="94" customFormat="1" ht="33.75" x14ac:dyDescent="0.2">
      <c r="D100" s="94" t="str">
        <f>CONCATENATE(Parameters!$B$2,E100,CHAR(10),Parameters!$B$3,G100,CHAR(10),Parameters!$B$4,H100)</f>
        <v xml:space="preserve">GIVEN Usha Rani, Jessica Erlandsson
WHEN 
THEN </v>
      </c>
      <c r="E100" s="94" t="s">
        <v>189</v>
      </c>
      <c r="F100" s="94" t="s">
        <v>269</v>
      </c>
      <c r="M100" s="94" t="s">
        <v>291</v>
      </c>
      <c r="N100" s="94" t="s">
        <v>291</v>
      </c>
      <c r="O100" s="94" t="s">
        <v>286</v>
      </c>
      <c r="R100" s="94" t="s">
        <v>184</v>
      </c>
    </row>
    <row r="101" spans="3:41" s="94" customFormat="1" ht="33.75" x14ac:dyDescent="0.2">
      <c r="D101" s="94" t="str">
        <f>CONCATENATE(Parameters!$B$2,F101,CHAR(10),Parameters!$B$3,G101,CHAR(10),Parameters!$B$4,H101)</f>
        <v xml:space="preserve">GIVEN logged in as Test Engineer to the system
WHEN 
THEN </v>
      </c>
      <c r="E101" s="94" t="s">
        <v>155</v>
      </c>
      <c r="F101" s="94" t="s">
        <v>269</v>
      </c>
      <c r="M101" s="94" t="s">
        <v>291</v>
      </c>
      <c r="N101" s="94" t="s">
        <v>291</v>
      </c>
      <c r="O101" s="94" t="s">
        <v>244</v>
      </c>
      <c r="R101" s="94" t="s">
        <v>187</v>
      </c>
    </row>
    <row r="102" spans="3:41" s="94" customFormat="1" ht="33.75" x14ac:dyDescent="0.2">
      <c r="D102" s="94" t="str">
        <f>CONCATENATE(Parameters!$B$2,F102,CHAR(10),Parameters!$B$3,G102,CHAR(10),Parameters!$B$4,H102)</f>
        <v xml:space="preserve">GIVEN 
WHEN 
THEN </v>
      </c>
      <c r="M102" s="94" t="s">
        <v>291</v>
      </c>
      <c r="N102" s="94" t="s">
        <v>291</v>
      </c>
      <c r="O102" s="94" t="s">
        <v>368</v>
      </c>
      <c r="R102" s="95" t="s">
        <v>359</v>
      </c>
    </row>
    <row r="103" spans="3:41" s="94" customFormat="1" ht="33.75" x14ac:dyDescent="0.2">
      <c r="D103" s="94" t="str">
        <f>CONCATENATE(Parameters!$B$2,F103,CHAR(10),Parameters!$B$3,G103,CHAR(10),Parameters!$B$4,H103)</f>
        <v xml:space="preserve">GIVEN 
WHEN 
THEN </v>
      </c>
      <c r="M103" s="94" t="s">
        <v>291</v>
      </c>
      <c r="N103" s="94" t="s">
        <v>291</v>
      </c>
      <c r="O103" s="94" t="s">
        <v>368</v>
      </c>
      <c r="R103" s="95" t="s">
        <v>360</v>
      </c>
    </row>
    <row r="104" spans="3:41" s="94" customFormat="1" ht="33.75" x14ac:dyDescent="0.2">
      <c r="D104" s="94" t="str">
        <f>CONCATENATE(Parameters!$B$2,F104,CHAR(10),Parameters!$B$3,G104,CHAR(10),Parameters!$B$4,H104)</f>
        <v xml:space="preserve">GIVEN 
WHEN 
THEN </v>
      </c>
      <c r="M104" s="94" t="s">
        <v>291</v>
      </c>
      <c r="N104" s="94" t="s">
        <v>291</v>
      </c>
      <c r="O104" s="94" t="s">
        <v>368</v>
      </c>
      <c r="R104" s="95" t="s">
        <v>362</v>
      </c>
    </row>
    <row r="105" spans="3:41" s="94" customFormat="1" ht="33.75" x14ac:dyDescent="0.2">
      <c r="D105" s="94" t="str">
        <f>CONCATENATE(Parameters!$B$2,F105,CHAR(10),Parameters!$B$3,G105,CHAR(10),Parameters!$B$4,H105)</f>
        <v xml:space="preserve">GIVEN 
WHEN 
THEN </v>
      </c>
      <c r="M105" s="94" t="s">
        <v>291</v>
      </c>
      <c r="N105" s="94" t="s">
        <v>291</v>
      </c>
      <c r="O105" s="94" t="s">
        <v>368</v>
      </c>
      <c r="R105" s="95" t="s">
        <v>363</v>
      </c>
    </row>
    <row r="106" spans="3:41" s="94" customFormat="1" ht="33.75" x14ac:dyDescent="0.2">
      <c r="D106" s="94" t="str">
        <f>CONCATENATE(Parameters!$B$2,F106,CHAR(10),Parameters!$B$3,G106,CHAR(10),Parameters!$B$4,H106)</f>
        <v xml:space="preserve">GIVEN 
WHEN 
THEN </v>
      </c>
      <c r="M106" s="94" t="s">
        <v>291</v>
      </c>
      <c r="N106" s="94" t="s">
        <v>291</v>
      </c>
      <c r="O106" s="94" t="s">
        <v>368</v>
      </c>
      <c r="R106" s="95" t="s">
        <v>364</v>
      </c>
    </row>
    <row r="107" spans="3:41" s="94" customFormat="1" ht="56.25" x14ac:dyDescent="0.2">
      <c r="D107" s="94" t="str">
        <f>CONCATENATE(Parameters!$B$2,F107,CHAR(10),Parameters!$B$3,G107,CHAR(10),Parameters!$B$4,H107)</f>
        <v>GIVEN logged in as Global Responsible to the system
WHEN searching for results of a specific test case It should be possible to specify between two dates
THEN you should get a list of all tests and reported result in a easy to view format</v>
      </c>
      <c r="E107" s="94" t="s">
        <v>173</v>
      </c>
      <c r="F107" s="94" t="s">
        <v>276</v>
      </c>
      <c r="G107" s="94" t="s">
        <v>236</v>
      </c>
      <c r="H107" s="94" t="s">
        <v>237</v>
      </c>
      <c r="M107" s="94" t="s">
        <v>290</v>
      </c>
      <c r="N107" s="94" t="s">
        <v>290</v>
      </c>
      <c r="O107" s="94" t="s">
        <v>264</v>
      </c>
      <c r="R107" s="94" t="s">
        <v>174</v>
      </c>
    </row>
    <row r="108" spans="3:41" s="94" customFormat="1" ht="45" x14ac:dyDescent="0.2">
      <c r="D108" s="94" t="str">
        <f>CONCATENATE(Parameters!$B$2,F108,CHAR(10),Parameters!$B$3,G108,CHAR(10),Parameters!$B$4,H108)</f>
        <v>GIVEN logged in as Global Responsible to the system
WHEN creating reports for different Product Classes
THEN I expect same format/layout independent on site or product classes</v>
      </c>
      <c r="E108" s="94" t="s">
        <v>173</v>
      </c>
      <c r="F108" s="94" t="s">
        <v>276</v>
      </c>
      <c r="G108" s="94" t="s">
        <v>265</v>
      </c>
      <c r="H108" s="94" t="s">
        <v>266</v>
      </c>
      <c r="M108" s="94" t="s">
        <v>290</v>
      </c>
      <c r="N108" s="94" t="s">
        <v>290</v>
      </c>
      <c r="O108" s="94" t="s">
        <v>278</v>
      </c>
      <c r="R108" s="94" t="s">
        <v>175</v>
      </c>
    </row>
    <row r="109" spans="3:41" s="94" customFormat="1" ht="45" x14ac:dyDescent="0.2">
      <c r="D109" s="94" t="str">
        <f>CONCATENATE(Parameters!$B$2,F109,CHAR(10),Parameters!$B$3,G109,CHAR(10),Parameters!$B$4,H109)</f>
        <v>GIVEN logged in as Global Responsible to the system
WHEN When searching reports
THEN I want to retrieve related protus-reports and testCases</v>
      </c>
      <c r="E109" s="94" t="s">
        <v>155</v>
      </c>
      <c r="F109" s="94" t="s">
        <v>276</v>
      </c>
      <c r="G109" s="94" t="s">
        <v>279</v>
      </c>
      <c r="H109" s="94" t="s">
        <v>280</v>
      </c>
      <c r="M109" s="94" t="s">
        <v>290</v>
      </c>
      <c r="N109" s="94" t="s">
        <v>290</v>
      </c>
      <c r="O109" s="94" t="s">
        <v>278</v>
      </c>
      <c r="R109" s="94" t="s">
        <v>176</v>
      </c>
    </row>
    <row r="110" spans="3:41" s="94" customFormat="1" ht="45" x14ac:dyDescent="0.2">
      <c r="D110" s="94" t="str">
        <f>CONCATENATE(Parameters!$B$2,F110,CHAR(10),Parameters!$B$3,G110,CHAR(10),Parameters!$B$4,H110)</f>
        <v xml:space="preserve">GIVEN logged in as Global Responsible to the system
WHEN Viewing the history of a Test
THEN I would like to see the testcases(including functions) and testSequences it was used in </v>
      </c>
      <c r="E110" s="94" t="s">
        <v>173</v>
      </c>
      <c r="F110" s="94" t="s">
        <v>276</v>
      </c>
      <c r="G110" s="94" t="s">
        <v>282</v>
      </c>
      <c r="H110" s="94" t="s">
        <v>283</v>
      </c>
      <c r="M110" s="94" t="s">
        <v>290</v>
      </c>
      <c r="N110" s="94" t="s">
        <v>290</v>
      </c>
      <c r="O110" s="94" t="s">
        <v>281</v>
      </c>
      <c r="R110" s="94" t="s">
        <v>178</v>
      </c>
    </row>
    <row r="111" spans="3:41" s="94" customFormat="1" ht="33.75" x14ac:dyDescent="0.2">
      <c r="D111" s="94" t="str">
        <f>CONCATENATE(Parameters!$B$2,F111,CHAR(10),Parameters!$B$3,G111,CHAR(10),Parameters!$B$4,H111)</f>
        <v xml:space="preserve">GIVEN logged in as Test Engineer to the system
WHEN 
THEN </v>
      </c>
      <c r="E111" s="94" t="s">
        <v>155</v>
      </c>
      <c r="F111" s="94" t="s">
        <v>269</v>
      </c>
      <c r="M111" s="94" t="s">
        <v>290</v>
      </c>
      <c r="N111" s="94" t="s">
        <v>290</v>
      </c>
      <c r="O111" s="94" t="s">
        <v>281</v>
      </c>
      <c r="R111" s="94" t="s">
        <v>186</v>
      </c>
    </row>
    <row r="112" spans="3:41" s="94" customFormat="1" ht="67.5" x14ac:dyDescent="0.2">
      <c r="C112" s="94">
        <f>AE112</f>
        <v>0</v>
      </c>
      <c r="D112" s="94" t="str">
        <f>CONCATENATE(Parameters!$B$2,F112,CHAR(10),Parameters!$B$3,G112,CHAR(10),Parameters!$B$4,H112)</f>
        <v>GIVEN logged in as Test Engineer to the system
WHEN doing my analyse of reported errors I would like to be able to identify previously written protus reports against the test case I work with.
THEN Should be presented with protus ids relevant for you and a link to protus report would be prefeered.</v>
      </c>
      <c r="E112" s="94" t="s">
        <v>155</v>
      </c>
      <c r="F112" s="94" t="s">
        <v>269</v>
      </c>
      <c r="G112" s="94" t="s">
        <v>204</v>
      </c>
      <c r="H112" s="94" t="s">
        <v>205</v>
      </c>
      <c r="M112" s="94" t="s">
        <v>290</v>
      </c>
      <c r="N112" s="94" t="s">
        <v>290</v>
      </c>
      <c r="O112" s="94" t="s">
        <v>257</v>
      </c>
      <c r="R112" s="94" t="s">
        <v>158</v>
      </c>
      <c r="AA112" s="94">
        <f>ROUND(W112-(ROUND(SQRT(Z112),0)),0)</f>
        <v>0</v>
      </c>
      <c r="AB112" s="94">
        <f>ROUND(W112+(ROUND(SQRT(Z112),0)),0)</f>
        <v>0</v>
      </c>
      <c r="AF112" s="94">
        <f>IFERROR(Y112/W112,0)</f>
        <v>0</v>
      </c>
      <c r="AG112" s="94">
        <f>IFERROR(Z112/SUMIF(V$6:V$68,V112,Z$6:Z$68),0)</f>
        <v>0</v>
      </c>
      <c r="AO112" s="94" t="s">
        <v>36</v>
      </c>
    </row>
    <row r="113" spans="4:18" s="94" customFormat="1" ht="78.75" x14ac:dyDescent="0.2">
      <c r="D113" s="94" t="str">
        <f>CONCATENATE(Parameters!$B$2,F113,CHAR(10),Parameters!$B$3,G113,CHAR(10),Parameters!$B$4,H113)</f>
        <v>GIVEN logged in as Test Engineer to the system
WHEN building the Engineering report  you should be able to add results to an appendix or add them directly to the ER report.
THEN Your information will be added to the report and you should have the possibility to complete your report(Automatic report generator)</v>
      </c>
      <c r="E113" s="94" t="s">
        <v>155</v>
      </c>
      <c r="F113" s="94" t="s">
        <v>269</v>
      </c>
      <c r="G113" s="94" t="s">
        <v>233</v>
      </c>
      <c r="H113" s="94" t="s">
        <v>234</v>
      </c>
      <c r="M113" s="94" t="s">
        <v>290</v>
      </c>
      <c r="N113" s="94" t="s">
        <v>290</v>
      </c>
      <c r="O113" s="94" t="s">
        <v>262</v>
      </c>
      <c r="R113" s="94" t="s">
        <v>170</v>
      </c>
    </row>
    <row r="114" spans="4:18" s="94" customFormat="1" ht="56.25" x14ac:dyDescent="0.2">
      <c r="D114" s="94" t="str">
        <f>CONCATENATE(Parameters!$B$2,F114,CHAR(10),Parameters!$B$3,G114,CHAR(10),Parameters!$B$4,H114)</f>
        <v>GIVEN logged in as Test Engineer to the system
WHEN doing analyse and report I would like to easily create a report that could be sorted and filtered in different ways
THEN You should be able to get a filtered  and sorted report over the current status of the test</v>
      </c>
      <c r="E114" s="94" t="s">
        <v>154</v>
      </c>
      <c r="F114" s="94" t="s">
        <v>269</v>
      </c>
      <c r="G114" s="94" t="s">
        <v>224</v>
      </c>
      <c r="H114" s="94" t="s">
        <v>225</v>
      </c>
      <c r="M114" s="94" t="s">
        <v>290</v>
      </c>
      <c r="N114" s="94" t="s">
        <v>290</v>
      </c>
      <c r="O114" s="94" t="s">
        <v>259</v>
      </c>
      <c r="R114" s="94" t="s">
        <v>166</v>
      </c>
    </row>
    <row r="115" spans="4:18" s="94" customFormat="1" ht="33.75" x14ac:dyDescent="0.2">
      <c r="D115" s="94" t="str">
        <f>CONCATENATE(Parameters!$B$2,F115,CHAR(10),Parameters!$B$3,G115,CHAR(10),Parameters!$B$4,H115)</f>
        <v xml:space="preserve">GIVEN 
WHEN 
THEN </v>
      </c>
      <c r="M115" s="94" t="s">
        <v>292</v>
      </c>
      <c r="N115" s="94" t="s">
        <v>354</v>
      </c>
      <c r="R115" s="94" t="s">
        <v>330</v>
      </c>
    </row>
    <row r="116" spans="4:18" s="94" customFormat="1" ht="33.75" x14ac:dyDescent="0.2">
      <c r="D116" s="94" t="str">
        <f>CONCATENATE(Parameters!$B$2,F116,CHAR(10),Parameters!$B$3,G116,CHAR(10),Parameters!$B$4,H116)</f>
        <v xml:space="preserve">GIVEN 
WHEN 
THEN </v>
      </c>
      <c r="M116" s="94" t="s">
        <v>292</v>
      </c>
      <c r="N116" s="94" t="s">
        <v>354</v>
      </c>
      <c r="R116" s="94" t="s">
        <v>331</v>
      </c>
    </row>
    <row r="117" spans="4:18" s="94" customFormat="1" ht="33.75" x14ac:dyDescent="0.2">
      <c r="D117" s="94" t="str">
        <f>CONCATENATE(Parameters!$B$2,F117,CHAR(10),Parameters!$B$3,G117,CHAR(10),Parameters!$B$4,H117)</f>
        <v xml:space="preserve">GIVEN 
WHEN 
THEN </v>
      </c>
      <c r="M117" s="94" t="s">
        <v>292</v>
      </c>
      <c r="N117" s="94" t="s">
        <v>354</v>
      </c>
      <c r="R117" s="94" t="s">
        <v>332</v>
      </c>
    </row>
    <row r="118" spans="4:18" s="94" customFormat="1" ht="33.75" x14ac:dyDescent="0.2">
      <c r="D118" s="94" t="str">
        <f>CONCATENATE(Parameters!$B$2,F118,CHAR(10),Parameters!$B$3,G118,CHAR(10),Parameters!$B$4,H118)</f>
        <v xml:space="preserve">GIVEN 
WHEN 
THEN </v>
      </c>
      <c r="M118" s="94" t="s">
        <v>292</v>
      </c>
      <c r="N118" s="94" t="s">
        <v>354</v>
      </c>
      <c r="R118" s="94" t="s">
        <v>333</v>
      </c>
    </row>
    <row r="119" spans="4:18" s="94" customFormat="1" ht="33.75" x14ac:dyDescent="0.2">
      <c r="D119" s="94" t="str">
        <f>CONCATENATE(Parameters!$B$2,F119,CHAR(10),Parameters!$B$3,G119,CHAR(10),Parameters!$B$4,H119)</f>
        <v xml:space="preserve">GIVEN 
WHEN 
THEN </v>
      </c>
      <c r="M119" s="94" t="s">
        <v>292</v>
      </c>
      <c r="N119" s="94" t="s">
        <v>354</v>
      </c>
      <c r="R119" s="94" t="s">
        <v>293</v>
      </c>
    </row>
    <row r="120" spans="4:18" s="94" customFormat="1" ht="33.75" x14ac:dyDescent="0.2">
      <c r="D120" s="94" t="str">
        <f>CONCATENATE(Parameters!$B$2,F120,CHAR(10),Parameters!$B$3,G120,CHAR(10),Parameters!$B$4,H120)</f>
        <v xml:space="preserve">GIVEN 
WHEN 
THEN </v>
      </c>
      <c r="M120" s="94" t="s">
        <v>292</v>
      </c>
      <c r="N120" s="94" t="s">
        <v>354</v>
      </c>
      <c r="R120" s="94" t="s">
        <v>334</v>
      </c>
    </row>
    <row r="121" spans="4:18" s="94" customFormat="1" ht="33.75" x14ac:dyDescent="0.2">
      <c r="D121" s="94" t="str">
        <f>CONCATENATE(Parameters!$B$2,F121,CHAR(10),Parameters!$B$3,G121,CHAR(10),Parameters!$B$4,H121)</f>
        <v xml:space="preserve">GIVEN 
WHEN 
THEN </v>
      </c>
      <c r="M121" s="94" t="s">
        <v>292</v>
      </c>
      <c r="N121" s="94" t="s">
        <v>354</v>
      </c>
      <c r="R121" s="94" t="s">
        <v>335</v>
      </c>
    </row>
    <row r="122" spans="4:18" s="94" customFormat="1" ht="33.75" x14ac:dyDescent="0.2">
      <c r="D122" s="94" t="str">
        <f>CONCATENATE(Parameters!$B$2,F122,CHAR(10),Parameters!$B$3,G122,CHAR(10),Parameters!$B$4,H122)</f>
        <v xml:space="preserve">GIVEN 
WHEN 
THEN </v>
      </c>
      <c r="M122" s="94" t="s">
        <v>292</v>
      </c>
      <c r="N122" s="94" t="s">
        <v>354</v>
      </c>
      <c r="R122" s="94" t="s">
        <v>336</v>
      </c>
    </row>
    <row r="123" spans="4:18" s="94" customFormat="1" ht="33.75" x14ac:dyDescent="0.2">
      <c r="D123" s="94" t="str">
        <f>CONCATENATE(Parameters!$B$2,F123,CHAR(10),Parameters!$B$3,G123,CHAR(10),Parameters!$B$4,H123)</f>
        <v xml:space="preserve">GIVEN 
WHEN 
THEN </v>
      </c>
      <c r="M123" s="94" t="s">
        <v>292</v>
      </c>
      <c r="N123" s="94" t="s">
        <v>354</v>
      </c>
      <c r="R123" s="94" t="s">
        <v>337</v>
      </c>
    </row>
    <row r="124" spans="4:18" s="94" customFormat="1" ht="33.75" x14ac:dyDescent="0.2">
      <c r="D124" s="94" t="str">
        <f>CONCATENATE(Parameters!$B$2,F124,CHAR(10),Parameters!$B$3,G124,CHAR(10),Parameters!$B$4,H124)</f>
        <v xml:space="preserve">GIVEN 
WHEN 
THEN </v>
      </c>
      <c r="M124" s="94" t="s">
        <v>292</v>
      </c>
      <c r="N124" s="94" t="s">
        <v>354</v>
      </c>
      <c r="R124" s="94" t="s">
        <v>338</v>
      </c>
    </row>
    <row r="125" spans="4:18" s="94" customFormat="1" ht="33.75" x14ac:dyDescent="0.2">
      <c r="D125" s="94" t="str">
        <f>CONCATENATE(Parameters!$B$2,F125,CHAR(10),Parameters!$B$3,G125,CHAR(10),Parameters!$B$4,H125)</f>
        <v xml:space="preserve">GIVEN 
WHEN 
THEN </v>
      </c>
      <c r="M125" s="94" t="s">
        <v>292</v>
      </c>
      <c r="N125" s="94" t="s">
        <v>354</v>
      </c>
      <c r="R125" s="94" t="s">
        <v>339</v>
      </c>
    </row>
    <row r="126" spans="4:18" s="94" customFormat="1" ht="33.75" x14ac:dyDescent="0.2">
      <c r="D126" s="94" t="str">
        <f>CONCATENATE(Parameters!$B$2,F126,CHAR(10),Parameters!$B$3,G126,CHAR(10),Parameters!$B$4,H126)</f>
        <v xml:space="preserve">GIVEN 
WHEN 
THEN </v>
      </c>
      <c r="M126" s="94" t="s">
        <v>292</v>
      </c>
      <c r="N126" s="94" t="s">
        <v>354</v>
      </c>
      <c r="R126" s="94" t="s">
        <v>340</v>
      </c>
    </row>
    <row r="127" spans="4:18" s="94" customFormat="1" ht="33.75" x14ac:dyDescent="0.2">
      <c r="D127" s="94" t="str">
        <f>CONCATENATE(Parameters!$B$2,F127,CHAR(10),Parameters!$B$3,G127,CHAR(10),Parameters!$B$4,H127)</f>
        <v xml:space="preserve">GIVEN 
WHEN 
THEN </v>
      </c>
      <c r="M127" s="94" t="s">
        <v>292</v>
      </c>
      <c r="N127" s="94" t="s">
        <v>354</v>
      </c>
      <c r="R127" s="94" t="s">
        <v>341</v>
      </c>
    </row>
    <row r="128" spans="4:18" s="94" customFormat="1" ht="33.75" x14ac:dyDescent="0.2">
      <c r="D128" s="94" t="str">
        <f>CONCATENATE(Parameters!$B$2,F128,CHAR(10),Parameters!$B$3,G128,CHAR(10),Parameters!$B$4,H128)</f>
        <v xml:space="preserve">GIVEN 
WHEN 
THEN </v>
      </c>
      <c r="M128" s="94" t="s">
        <v>358</v>
      </c>
      <c r="N128" s="94" t="s">
        <v>354</v>
      </c>
      <c r="O128" s="94" t="s">
        <v>85</v>
      </c>
      <c r="R128" s="95" t="s">
        <v>361</v>
      </c>
    </row>
    <row r="129" spans="4:4" s="94" customFormat="1" ht="33.75" x14ac:dyDescent="0.2">
      <c r="D129" s="94" t="str">
        <f>CONCATENATE(Parameters!$B$2,F129,CHAR(10),Parameters!$B$3,G129,CHAR(10),Parameters!$B$4,H129)</f>
        <v xml:space="preserve">GIVEN 
WHEN 
THEN </v>
      </c>
    </row>
    <row r="130" spans="4:4" s="94" customFormat="1" ht="33.75" x14ac:dyDescent="0.2">
      <c r="D130" s="94" t="str">
        <f>CONCATENATE(Parameters!$B$2,F130,CHAR(10),Parameters!$B$3,G130,CHAR(10),Parameters!$B$4,H130)</f>
        <v xml:space="preserve">GIVEN 
WHEN 
THEN </v>
      </c>
    </row>
    <row r="131" spans="4:4" s="94" customFormat="1" ht="33.75" x14ac:dyDescent="0.2">
      <c r="D131" s="94" t="str">
        <f>CONCATENATE(Parameters!$B$2,F131,CHAR(10),Parameters!$B$3,G131,CHAR(10),Parameters!$B$4,H131)</f>
        <v xml:space="preserve">GIVEN 
WHEN 
THEN </v>
      </c>
    </row>
    <row r="132" spans="4:4" s="94" customFormat="1" ht="33.75" x14ac:dyDescent="0.2">
      <c r="D132" s="94" t="str">
        <f>CONCATENATE(Parameters!$B$2,F132,CHAR(10),Parameters!$B$3,G132,CHAR(10),Parameters!$B$4,H132)</f>
        <v xml:space="preserve">GIVEN 
WHEN 
THEN </v>
      </c>
    </row>
    <row r="133" spans="4:4" s="94" customFormat="1" ht="33.75" x14ac:dyDescent="0.2">
      <c r="D133" s="94" t="str">
        <f>CONCATENATE(Parameters!$B$2,F133,CHAR(10),Parameters!$B$3,G133,CHAR(10),Parameters!$B$4,H133)</f>
        <v xml:space="preserve">GIVEN 
WHEN 
THEN </v>
      </c>
    </row>
    <row r="134" spans="4:4" s="94" customFormat="1" ht="33.75" x14ac:dyDescent="0.2">
      <c r="D134" s="94" t="str">
        <f>CONCATENATE(Parameters!$B$2,F134,CHAR(10),Parameters!$B$3,G134,CHAR(10),Parameters!$B$4,H134)</f>
        <v xml:space="preserve">GIVEN 
WHEN 
THEN </v>
      </c>
    </row>
    <row r="135" spans="4:4" s="94" customFormat="1" ht="33.75" x14ac:dyDescent="0.2">
      <c r="D135" s="94" t="str">
        <f>CONCATENATE(Parameters!$B$2,F135,CHAR(10),Parameters!$B$3,G135,CHAR(10),Parameters!$B$4,H135)</f>
        <v xml:space="preserve">GIVEN 
WHEN 
THEN </v>
      </c>
    </row>
    <row r="136" spans="4:4" s="94" customFormat="1" ht="33.75" x14ac:dyDescent="0.2">
      <c r="D136" s="94" t="str">
        <f>CONCATENATE(Parameters!$B$2,F136,CHAR(10),Parameters!$B$3,G136,CHAR(10),Parameters!$B$4,H136)</f>
        <v xml:space="preserve">GIVEN 
WHEN 
THEN </v>
      </c>
    </row>
    <row r="137" spans="4:4" s="94" customFormat="1" ht="33.75" x14ac:dyDescent="0.2">
      <c r="D137" s="94" t="str">
        <f>CONCATENATE(Parameters!$B$2,F137,CHAR(10),Parameters!$B$3,G137,CHAR(10),Parameters!$B$4,H137)</f>
        <v xml:space="preserve">GIVEN 
WHEN 
THEN </v>
      </c>
    </row>
    <row r="138" spans="4:4" s="94" customFormat="1" ht="33.75" x14ac:dyDescent="0.2">
      <c r="D138" s="94" t="str">
        <f>CONCATENATE(Parameters!$B$2,F138,CHAR(10),Parameters!$B$3,G138,CHAR(10),Parameters!$B$4,H138)</f>
        <v xml:space="preserve">GIVEN 
WHEN 
THEN </v>
      </c>
    </row>
    <row r="139" spans="4:4" s="94" customFormat="1" ht="33.75" x14ac:dyDescent="0.2">
      <c r="D139" s="94" t="str">
        <f>CONCATENATE(Parameters!$B$2,F139,CHAR(10),Parameters!$B$3,G139,CHAR(10),Parameters!$B$4,H139)</f>
        <v xml:space="preserve">GIVEN 
WHEN 
THEN </v>
      </c>
    </row>
    <row r="140" spans="4:4" s="94" customFormat="1" ht="33.75" x14ac:dyDescent="0.2">
      <c r="D140" s="94" t="str">
        <f>CONCATENATE(Parameters!$B$2,F140,CHAR(10),Parameters!$B$3,G140,CHAR(10),Parameters!$B$4,H140)</f>
        <v xml:space="preserve">GIVEN 
WHEN 
THEN </v>
      </c>
    </row>
    <row r="141" spans="4:4" s="94" customFormat="1" ht="33.75" x14ac:dyDescent="0.2">
      <c r="D141" s="94" t="str">
        <f>CONCATENATE(Parameters!$B$2,F141,CHAR(10),Parameters!$B$3,G141,CHAR(10),Parameters!$B$4,H141)</f>
        <v xml:space="preserve">GIVEN 
WHEN 
THEN </v>
      </c>
    </row>
    <row r="142" spans="4:4" s="94" customFormat="1" ht="33.75" x14ac:dyDescent="0.2">
      <c r="D142" s="94" t="str">
        <f>CONCATENATE(Parameters!$B$2,F142,CHAR(10),Parameters!$B$3,G142,CHAR(10),Parameters!$B$4,H142)</f>
        <v xml:space="preserve">GIVEN 
WHEN 
THEN </v>
      </c>
    </row>
    <row r="143" spans="4:4" s="94" customFormat="1" ht="33.75" x14ac:dyDescent="0.2">
      <c r="D143" s="94" t="str">
        <f>CONCATENATE(Parameters!$B$2,F143,CHAR(10),Parameters!$B$3,G143,CHAR(10),Parameters!$B$4,H143)</f>
        <v xml:space="preserve">GIVEN 
WHEN 
THEN </v>
      </c>
    </row>
    <row r="144" spans="4:4" s="94" customFormat="1" ht="33.75" x14ac:dyDescent="0.2">
      <c r="D144" s="94" t="str">
        <f>CONCATENATE(Parameters!$B$2,F144,CHAR(10),Parameters!$B$3,G144,CHAR(10),Parameters!$B$4,H144)</f>
        <v xml:space="preserve">GIVEN 
WHEN 
THEN </v>
      </c>
    </row>
    <row r="145" spans="4:4" s="94" customFormat="1" ht="33.75" x14ac:dyDescent="0.2">
      <c r="D145" s="94" t="str">
        <f>CONCATENATE(Parameters!$B$2,F145,CHAR(10),Parameters!$B$3,G145,CHAR(10),Parameters!$B$4,H145)</f>
        <v xml:space="preserve">GIVEN 
WHEN 
THEN </v>
      </c>
    </row>
    <row r="146" spans="4:4" s="94" customFormat="1" ht="33.75" x14ac:dyDescent="0.2">
      <c r="D146" s="94" t="str">
        <f>CONCATENATE(Parameters!$B$2,F146,CHAR(10),Parameters!$B$3,G146,CHAR(10),Parameters!$B$4,H146)</f>
        <v xml:space="preserve">GIVEN 
WHEN 
THEN </v>
      </c>
    </row>
    <row r="147" spans="4:4" s="94" customFormat="1" ht="33.75" x14ac:dyDescent="0.2">
      <c r="D147" s="94" t="str">
        <f>CONCATENATE(Parameters!$B$2,F147,CHAR(10),Parameters!$B$3,G147,CHAR(10),Parameters!$B$4,H147)</f>
        <v xml:space="preserve">GIVEN 
WHEN 
THEN </v>
      </c>
    </row>
    <row r="148" spans="4:4" s="94" customFormat="1" ht="33.75" x14ac:dyDescent="0.2">
      <c r="D148" s="94" t="str">
        <f>CONCATENATE(Parameters!$B$2,F148,CHAR(10),Parameters!$B$3,G148,CHAR(10),Parameters!$B$4,H148)</f>
        <v xml:space="preserve">GIVEN 
WHEN 
THEN </v>
      </c>
    </row>
    <row r="149" spans="4:4" s="94" customFormat="1" ht="33.75" x14ac:dyDescent="0.2">
      <c r="D149" s="94" t="str">
        <f>CONCATENATE(Parameters!$B$2,F149,CHAR(10),Parameters!$B$3,G149,CHAR(10),Parameters!$B$4,H149)</f>
        <v xml:space="preserve">GIVEN 
WHEN 
THEN </v>
      </c>
    </row>
    <row r="150" spans="4:4" s="94" customFormat="1" ht="33.75" x14ac:dyDescent="0.2">
      <c r="D150" s="94" t="str">
        <f>CONCATENATE(Parameters!$B$2,F150,CHAR(10),Parameters!$B$3,G150,CHAR(10),Parameters!$B$4,H150)</f>
        <v xml:space="preserve">GIVEN 
WHEN 
THEN </v>
      </c>
    </row>
    <row r="151" spans="4:4" s="94" customFormat="1" ht="33.75" x14ac:dyDescent="0.2">
      <c r="D151" s="94" t="str">
        <f>CONCATENATE(Parameters!$B$2,F151,CHAR(10),Parameters!$B$3,G151,CHAR(10),Parameters!$B$4,H151)</f>
        <v xml:space="preserve">GIVEN 
WHEN 
THEN </v>
      </c>
    </row>
    <row r="152" spans="4:4" s="94" customFormat="1" ht="33.75" x14ac:dyDescent="0.2">
      <c r="D152" s="94" t="str">
        <f>CONCATENATE(Parameters!$B$2,F152,CHAR(10),Parameters!$B$3,G152,CHAR(10),Parameters!$B$4,H152)</f>
        <v xml:space="preserve">GIVEN 
WHEN 
THEN </v>
      </c>
    </row>
    <row r="153" spans="4:4" s="94" customFormat="1" ht="33.75" x14ac:dyDescent="0.2">
      <c r="D153" s="94" t="str">
        <f>CONCATENATE(Parameters!$B$2,F153,CHAR(10),Parameters!$B$3,G153,CHAR(10),Parameters!$B$4,H153)</f>
        <v xml:space="preserve">GIVEN 
WHEN 
THEN </v>
      </c>
    </row>
    <row r="154" spans="4:4" s="94" customFormat="1" ht="33.75" x14ac:dyDescent="0.2">
      <c r="D154" s="94" t="str">
        <f>CONCATENATE(Parameters!$B$2,F154,CHAR(10),Parameters!$B$3,G154,CHAR(10),Parameters!$B$4,H154)</f>
        <v xml:space="preserve">GIVEN 
WHEN 
THEN </v>
      </c>
    </row>
    <row r="155" spans="4:4" s="94" customFormat="1" ht="33.75" x14ac:dyDescent="0.2">
      <c r="D155" s="94" t="str">
        <f>CONCATENATE(Parameters!$B$2,F155,CHAR(10),Parameters!$B$3,G155,CHAR(10),Parameters!$B$4,H155)</f>
        <v xml:space="preserve">GIVEN 
WHEN 
THEN </v>
      </c>
    </row>
    <row r="156" spans="4:4" s="94" customFormat="1" ht="33.75" x14ac:dyDescent="0.2">
      <c r="D156" s="94" t="str">
        <f>CONCATENATE(Parameters!$B$2,F156,CHAR(10),Parameters!$B$3,G156,CHAR(10),Parameters!$B$4,H156)</f>
        <v xml:space="preserve">GIVEN 
WHEN 
THEN </v>
      </c>
    </row>
    <row r="157" spans="4:4" s="94" customFormat="1" ht="33.75" x14ac:dyDescent="0.2">
      <c r="D157" s="94" t="str">
        <f>CONCATENATE(Parameters!$B$2,F157,CHAR(10),Parameters!$B$3,G157,CHAR(10),Parameters!$B$4,H157)</f>
        <v xml:space="preserve">GIVEN 
WHEN 
THEN </v>
      </c>
    </row>
    <row r="158" spans="4:4" s="94" customFormat="1" ht="33.75" x14ac:dyDescent="0.2">
      <c r="D158" s="94" t="str">
        <f>CONCATENATE(Parameters!$B$2,F158,CHAR(10),Parameters!$B$3,G158,CHAR(10),Parameters!$B$4,H158)</f>
        <v xml:space="preserve">GIVEN 
WHEN 
THEN </v>
      </c>
    </row>
    <row r="159" spans="4:4" s="94" customFormat="1" ht="33.75" x14ac:dyDescent="0.2">
      <c r="D159" s="94" t="str">
        <f>CONCATENATE(Parameters!$B$2,F159,CHAR(10),Parameters!$B$3,G159,CHAR(10),Parameters!$B$4,H159)</f>
        <v xml:space="preserve">GIVEN 
WHEN 
THEN </v>
      </c>
    </row>
    <row r="160" spans="4:4" s="94" customFormat="1" ht="33.75" x14ac:dyDescent="0.2">
      <c r="D160" s="94" t="str">
        <f>CONCATENATE(Parameters!$B$2,F160,CHAR(10),Parameters!$B$3,G160,CHAR(10),Parameters!$B$4,H160)</f>
        <v xml:space="preserve">GIVEN 
WHEN 
THEN </v>
      </c>
    </row>
    <row r="161" spans="4:4" s="94" customFormat="1" ht="33.75" x14ac:dyDescent="0.2">
      <c r="D161" s="94" t="str">
        <f>CONCATENATE(Parameters!$B$2,F161,CHAR(10),Parameters!$B$3,G161,CHAR(10),Parameters!$B$4,H161)</f>
        <v xml:space="preserve">GIVEN 
WHEN 
THEN </v>
      </c>
    </row>
    <row r="162" spans="4:4" s="94" customFormat="1" ht="33.75" x14ac:dyDescent="0.2">
      <c r="D162" s="94" t="str">
        <f>CONCATENATE(Parameters!$B$2,F162,CHAR(10),Parameters!$B$3,G162,CHAR(10),Parameters!$B$4,H162)</f>
        <v xml:space="preserve">GIVEN 
WHEN 
THEN </v>
      </c>
    </row>
    <row r="163" spans="4:4" s="94" customFormat="1" ht="33.75" x14ac:dyDescent="0.2">
      <c r="D163" s="94" t="str">
        <f>CONCATENATE(Parameters!$B$2,F163,CHAR(10),Parameters!$B$3,G163,CHAR(10),Parameters!$B$4,H163)</f>
        <v xml:space="preserve">GIVEN 
WHEN 
THEN </v>
      </c>
    </row>
    <row r="164" spans="4:4" s="94" customFormat="1" ht="33.75" x14ac:dyDescent="0.2">
      <c r="D164" s="94" t="str">
        <f>CONCATENATE(Parameters!$B$2,F164,CHAR(10),Parameters!$B$3,G164,CHAR(10),Parameters!$B$4,H164)</f>
        <v xml:space="preserve">GIVEN 
WHEN 
THEN </v>
      </c>
    </row>
    <row r="165" spans="4:4" s="94" customFormat="1" ht="33.75" x14ac:dyDescent="0.2">
      <c r="D165" s="94" t="str">
        <f>CONCATENATE(Parameters!$B$2,F165,CHAR(10),Parameters!$B$3,G165,CHAR(10),Parameters!$B$4,H165)</f>
        <v xml:space="preserve">GIVEN 
WHEN 
THEN </v>
      </c>
    </row>
    <row r="166" spans="4:4" s="94" customFormat="1" ht="33.75" x14ac:dyDescent="0.2">
      <c r="D166" s="94" t="str">
        <f>CONCATENATE(Parameters!$B$2,F166,CHAR(10),Parameters!$B$3,G166,CHAR(10),Parameters!$B$4,H166)</f>
        <v xml:space="preserve">GIVEN 
WHEN 
THEN </v>
      </c>
    </row>
    <row r="167" spans="4:4" s="94" customFormat="1" ht="33.75" x14ac:dyDescent="0.2">
      <c r="D167" s="94" t="str">
        <f>CONCATENATE(Parameters!$B$2,F167,CHAR(10),Parameters!$B$3,G167,CHAR(10),Parameters!$B$4,H167)</f>
        <v xml:space="preserve">GIVEN 
WHEN 
THEN </v>
      </c>
    </row>
    <row r="168" spans="4:4" s="94" customFormat="1" ht="33.75" x14ac:dyDescent="0.2">
      <c r="D168" s="94" t="str">
        <f>CONCATENATE(Parameters!$B$2,F168,CHAR(10),Parameters!$B$3,G168,CHAR(10),Parameters!$B$4,H168)</f>
        <v xml:space="preserve">GIVEN 
WHEN 
THEN </v>
      </c>
    </row>
    <row r="169" spans="4:4" s="94" customFormat="1" ht="33.75" x14ac:dyDescent="0.2">
      <c r="D169" s="94" t="str">
        <f>CONCATENATE(Parameters!$B$2,F169,CHAR(10),Parameters!$B$3,G169,CHAR(10),Parameters!$B$4,H169)</f>
        <v xml:space="preserve">GIVEN 
WHEN 
THEN </v>
      </c>
    </row>
    <row r="170" spans="4:4" s="94" customFormat="1" ht="33.75" x14ac:dyDescent="0.2">
      <c r="D170" s="94" t="str">
        <f>CONCATENATE(Parameters!$B$2,F170,CHAR(10),Parameters!$B$3,G170,CHAR(10),Parameters!$B$4,H170)</f>
        <v xml:space="preserve">GIVEN 
WHEN 
THEN </v>
      </c>
    </row>
    <row r="171" spans="4:4" s="94" customFormat="1" ht="33.75" x14ac:dyDescent="0.2">
      <c r="D171" s="94" t="str">
        <f>CONCATENATE(Parameters!$B$2,F171,CHAR(10),Parameters!$B$3,G171,CHAR(10),Parameters!$B$4,H171)</f>
        <v xml:space="preserve">GIVEN 
WHEN 
THEN </v>
      </c>
    </row>
    <row r="172" spans="4:4" s="94" customFormat="1" ht="33.75" x14ac:dyDescent="0.2">
      <c r="D172" s="94" t="str">
        <f>CONCATENATE(Parameters!$B$2,F172,CHAR(10),Parameters!$B$3,G172,CHAR(10),Parameters!$B$4,H172)</f>
        <v xml:space="preserve">GIVEN 
WHEN 
THEN </v>
      </c>
    </row>
    <row r="173" spans="4:4" s="94" customFormat="1" ht="33.75" x14ac:dyDescent="0.2">
      <c r="D173" s="94" t="str">
        <f>CONCATENATE(Parameters!$B$2,F173,CHAR(10),Parameters!$B$3,G173,CHAR(10),Parameters!$B$4,H173)</f>
        <v xml:space="preserve">GIVEN 
WHEN 
THEN </v>
      </c>
    </row>
    <row r="174" spans="4:4" s="94" customFormat="1" ht="33.75" x14ac:dyDescent="0.2">
      <c r="D174" s="94" t="str">
        <f>CONCATENATE(Parameters!$B$2,F174,CHAR(10),Parameters!$B$3,G174,CHAR(10),Parameters!$B$4,H174)</f>
        <v xml:space="preserve">GIVEN 
WHEN 
THEN </v>
      </c>
    </row>
    <row r="175" spans="4:4" s="94" customFormat="1" ht="33.75" x14ac:dyDescent="0.2">
      <c r="D175" s="94" t="str">
        <f>CONCATENATE(Parameters!$B$2,F175,CHAR(10),Parameters!$B$3,G175,CHAR(10),Parameters!$B$4,H175)</f>
        <v xml:space="preserve">GIVEN 
WHEN 
THEN </v>
      </c>
    </row>
    <row r="176" spans="4:4" s="94" customFormat="1" ht="33.75" x14ac:dyDescent="0.2">
      <c r="D176" s="94" t="str">
        <f>CONCATENATE(Parameters!$B$2,F176,CHAR(10),Parameters!$B$3,G176,CHAR(10),Parameters!$B$4,H176)</f>
        <v xml:space="preserve">GIVEN 
WHEN 
THEN </v>
      </c>
    </row>
    <row r="177" spans="4:4" s="94" customFormat="1" ht="33.75" x14ac:dyDescent="0.2">
      <c r="D177" s="94" t="str">
        <f>CONCATENATE(Parameters!$B$2,F177,CHAR(10),Parameters!$B$3,G177,CHAR(10),Parameters!$B$4,H177)</f>
        <v xml:space="preserve">GIVEN 
WHEN 
THEN </v>
      </c>
    </row>
    <row r="178" spans="4:4" s="94" customFormat="1" ht="33.75" x14ac:dyDescent="0.2">
      <c r="D178" s="94" t="str">
        <f>CONCATENATE(Parameters!$B$2,F178,CHAR(10),Parameters!$B$3,G178,CHAR(10),Parameters!$B$4,H178)</f>
        <v xml:space="preserve">GIVEN 
WHEN 
THEN </v>
      </c>
    </row>
    <row r="179" spans="4:4" s="94" customFormat="1" ht="33.75" x14ac:dyDescent="0.2">
      <c r="D179" s="94" t="str">
        <f>CONCATENATE(Parameters!$B$2,F179,CHAR(10),Parameters!$B$3,G179,CHAR(10),Parameters!$B$4,H179)</f>
        <v xml:space="preserve">GIVEN 
WHEN 
THEN </v>
      </c>
    </row>
    <row r="180" spans="4:4" s="94" customFormat="1" ht="33.75" x14ac:dyDescent="0.2">
      <c r="D180" s="94" t="str">
        <f>CONCATENATE(Parameters!$B$2,F180,CHAR(10),Parameters!$B$3,G180,CHAR(10),Parameters!$B$4,H180)</f>
        <v xml:space="preserve">GIVEN 
WHEN 
THEN </v>
      </c>
    </row>
    <row r="181" spans="4:4" s="94" customFormat="1" ht="33.75" x14ac:dyDescent="0.2">
      <c r="D181" s="94" t="str">
        <f>CONCATENATE(Parameters!$B$2,F181,CHAR(10),Parameters!$B$3,G181,CHAR(10),Parameters!$B$4,H181)</f>
        <v xml:space="preserve">GIVEN 
WHEN 
THEN </v>
      </c>
    </row>
    <row r="182" spans="4:4" s="94" customFormat="1" ht="33.75" x14ac:dyDescent="0.2">
      <c r="D182" s="94" t="str">
        <f>CONCATENATE(Parameters!$B$2,F182,CHAR(10),Parameters!$B$3,G182,CHAR(10),Parameters!$B$4,H182)</f>
        <v xml:space="preserve">GIVEN 
WHEN 
THEN </v>
      </c>
    </row>
    <row r="183" spans="4:4" s="94" customFormat="1" ht="33.75" x14ac:dyDescent="0.2">
      <c r="D183" s="94" t="str">
        <f>CONCATENATE(Parameters!$B$2,F183,CHAR(10),Parameters!$B$3,G183,CHAR(10),Parameters!$B$4,H183)</f>
        <v xml:space="preserve">GIVEN 
WHEN 
THEN </v>
      </c>
    </row>
    <row r="184" spans="4:4" s="94" customFormat="1" ht="33.75" x14ac:dyDescent="0.2">
      <c r="D184" s="94" t="str">
        <f>CONCATENATE(Parameters!$B$2,F184,CHAR(10),Parameters!$B$3,G184,CHAR(10),Parameters!$B$4,H184)</f>
        <v xml:space="preserve">GIVEN 
WHEN 
THEN </v>
      </c>
    </row>
    <row r="185" spans="4:4" s="94" customFormat="1" ht="33.75" x14ac:dyDescent="0.2">
      <c r="D185" s="94" t="str">
        <f>CONCATENATE(Parameters!$B$2,F185,CHAR(10),Parameters!$B$3,G185,CHAR(10),Parameters!$B$4,H185)</f>
        <v xml:space="preserve">GIVEN 
WHEN 
THEN </v>
      </c>
    </row>
    <row r="186" spans="4:4" s="94" customFormat="1" ht="33.75" x14ac:dyDescent="0.2">
      <c r="D186" s="94" t="str">
        <f>CONCATENATE(Parameters!$B$2,F186,CHAR(10),Parameters!$B$3,G186,CHAR(10),Parameters!$B$4,H186)</f>
        <v xml:space="preserve">GIVEN 
WHEN 
THEN </v>
      </c>
    </row>
    <row r="187" spans="4:4" s="94" customFormat="1" ht="33.75" x14ac:dyDescent="0.2">
      <c r="D187" s="94" t="str">
        <f>CONCATENATE(Parameters!$B$2,F187,CHAR(10),Parameters!$B$3,G187,CHAR(10),Parameters!$B$4,H187)</f>
        <v xml:space="preserve">GIVEN 
WHEN 
THEN </v>
      </c>
    </row>
    <row r="188" spans="4:4" s="94" customFormat="1" ht="33.75" x14ac:dyDescent="0.2">
      <c r="D188" s="94" t="str">
        <f>CONCATENATE(Parameters!$B$2,F188,CHAR(10),Parameters!$B$3,G188,CHAR(10),Parameters!$B$4,H188)</f>
        <v xml:space="preserve">GIVEN 
WHEN 
THEN </v>
      </c>
    </row>
    <row r="189" spans="4:4" s="94" customFormat="1" ht="33.75" x14ac:dyDescent="0.2">
      <c r="D189" s="94" t="str">
        <f>CONCATENATE(Parameters!$B$2,F189,CHAR(10),Parameters!$B$3,G189,CHAR(10),Parameters!$B$4,H189)</f>
        <v xml:space="preserve">GIVEN 
WHEN 
THEN </v>
      </c>
    </row>
    <row r="190" spans="4:4" s="94" customFormat="1" ht="33.75" x14ac:dyDescent="0.2">
      <c r="D190" s="94" t="str">
        <f>CONCATENATE(Parameters!$B$2,F190,CHAR(10),Parameters!$B$3,G190,CHAR(10),Parameters!$B$4,H190)</f>
        <v xml:space="preserve">GIVEN 
WHEN 
THEN </v>
      </c>
    </row>
    <row r="191" spans="4:4" s="94" customFormat="1" ht="33.75" x14ac:dyDescent="0.2">
      <c r="D191" s="94" t="str">
        <f>CONCATENATE(Parameters!$B$2,F191,CHAR(10),Parameters!$B$3,G191,CHAR(10),Parameters!$B$4,H191)</f>
        <v xml:space="preserve">GIVEN 
WHEN 
THEN </v>
      </c>
    </row>
    <row r="192" spans="4:4" s="94" customFormat="1" ht="33.75" x14ac:dyDescent="0.2">
      <c r="D192" s="94" t="str">
        <f>CONCATENATE(Parameters!$B$2,F192,CHAR(10),Parameters!$B$3,G192,CHAR(10),Parameters!$B$4,H192)</f>
        <v xml:space="preserve">GIVEN 
WHEN 
THEN </v>
      </c>
    </row>
    <row r="193" spans="4:4" s="94" customFormat="1" ht="33.75" x14ac:dyDescent="0.2">
      <c r="D193" s="94" t="str">
        <f>CONCATENATE(Parameters!$B$2,F193,CHAR(10),Parameters!$B$3,G193,CHAR(10),Parameters!$B$4,H193)</f>
        <v xml:space="preserve">GIVEN 
WHEN 
THEN </v>
      </c>
    </row>
    <row r="194" spans="4:4" s="94" customFormat="1" ht="33.75" x14ac:dyDescent="0.2">
      <c r="D194" s="94" t="str">
        <f>CONCATENATE(Parameters!$B$2,F194,CHAR(10),Parameters!$B$3,G194,CHAR(10),Parameters!$B$4,H194)</f>
        <v xml:space="preserve">GIVEN 
WHEN 
THEN </v>
      </c>
    </row>
    <row r="195" spans="4:4" s="94" customFormat="1" ht="33.75" x14ac:dyDescent="0.2">
      <c r="D195" s="94" t="str">
        <f>CONCATENATE(Parameters!$B$2,F195,CHAR(10),Parameters!$B$3,G195,CHAR(10),Parameters!$B$4,H195)</f>
        <v xml:space="preserve">GIVEN 
WHEN 
THEN </v>
      </c>
    </row>
    <row r="196" spans="4:4" s="94" customFormat="1" ht="33.75" x14ac:dyDescent="0.2">
      <c r="D196" s="94" t="str">
        <f>CONCATENATE(Parameters!$B$2,F196,CHAR(10),Parameters!$B$3,G196,CHAR(10),Parameters!$B$4,H196)</f>
        <v xml:space="preserve">GIVEN 
WHEN 
THEN </v>
      </c>
    </row>
    <row r="197" spans="4:4" s="94" customFormat="1" ht="33.75" x14ac:dyDescent="0.2">
      <c r="D197" s="94" t="str">
        <f>CONCATENATE(Parameters!$B$2,F197,CHAR(10),Parameters!$B$3,G197,CHAR(10),Parameters!$B$4,H197)</f>
        <v xml:space="preserve">GIVEN 
WHEN 
THEN </v>
      </c>
    </row>
    <row r="198" spans="4:4" s="94" customFormat="1" ht="11.25" x14ac:dyDescent="0.2"/>
    <row r="199" spans="4:4" s="94" customFormat="1" ht="11.25" x14ac:dyDescent="0.2"/>
  </sheetData>
  <autoFilter ref="A5:AT127"/>
  <sortState ref="A4:AL36">
    <sortCondition ref="B4:B36"/>
  </sortState>
  <conditionalFormatting sqref="AF112 AF83:AF86 AF6 AF30:AF47 AF60:AF71 AF73">
    <cfRule type="cellIs" dxfId="1" priority="8" operator="greaterThan">
      <formula>$V6</formula>
    </cfRule>
  </conditionalFormatting>
  <conditionalFormatting sqref="AG83:AG86 AG112 AG73 AG6 AG60:AG71 AG30:AG47">
    <cfRule type="colorScale" priority="136">
      <colorScale>
        <cfvo type="min"/>
        <cfvo type="percentile" val="50"/>
        <cfvo type="max"/>
        <color theme="3" tint="0.79998168889431442"/>
        <color rgb="FFFCFCFF"/>
        <color rgb="FFF8696B"/>
      </colorScale>
    </cfRule>
  </conditionalFormatting>
  <conditionalFormatting sqref="C112 C73 C83:C86 C6 C60:C71 C30:C47">
    <cfRule type="iconSet" priority="144">
      <iconSet iconSet="3Symbols2" showValue="0" reverse="1">
        <cfvo type="percent" val="0"/>
        <cfvo type="num" val="#REF!" gte="0"/>
        <cfvo type="num" val="#REF!" gte="0"/>
      </iconSet>
    </cfRule>
  </conditionalFormatting>
  <conditionalFormatting sqref="A79:A128 A30:A47 A6:A12 A60:A74">
    <cfRule type="duplicateValues" dxfId="0" priority="199"/>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3</xdr:col>
                <xdr:colOff>1104900</xdr:colOff>
                <xdr:row>2</xdr:row>
                <xdr:rowOff>9525</xdr:rowOff>
              </from>
              <to>
                <xdr:col>5</xdr:col>
                <xdr:colOff>0</xdr:colOff>
                <xdr:row>3</xdr:row>
                <xdr:rowOff>133350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Parameters!$C$2:$C$3</xm:f>
          </x14:formula1>
          <xm:sqref>J62:J68 J30:J32 J21 J60 J6 J34:J47</xm:sqref>
        </x14:dataValidation>
        <x14:dataValidation type="list" allowBlank="1" showErrorMessage="1">
          <x14:formula1>
            <xm:f>Parameters!$A$2:$A$5</xm:f>
          </x14:formula1>
          <xm:sqref>AO112 AO83:AO86 AO6 AO21 AO73 AO30:AO47 AO60:AO71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
  <sheetViews>
    <sheetView workbookViewId="0">
      <selection activeCell="A7" sqref="A7"/>
    </sheetView>
  </sheetViews>
  <sheetFormatPr defaultRowHeight="12.75" x14ac:dyDescent="0.2"/>
  <cols>
    <col min="1" max="1" width="35.28515625" customWidth="1"/>
  </cols>
  <sheetData>
    <row r="2" spans="1:1" x14ac:dyDescent="0.2">
      <c r="A2" t="s">
        <v>245</v>
      </c>
    </row>
    <row r="3" spans="1:1" x14ac:dyDescent="0.2">
      <c r="A3" s="2" t="s">
        <v>248</v>
      </c>
    </row>
    <row r="4" spans="1:1" x14ac:dyDescent="0.2">
      <c r="A4" t="s">
        <v>247</v>
      </c>
    </row>
    <row r="5" spans="1:1" x14ac:dyDescent="0.2">
      <c r="A5" s="2" t="s">
        <v>250</v>
      </c>
    </row>
    <row r="6" spans="1:1" x14ac:dyDescent="0.2">
      <c r="A6" s="2" t="s">
        <v>254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4"/>
  <sheetViews>
    <sheetView workbookViewId="0">
      <selection activeCell="B1" sqref="B1"/>
    </sheetView>
  </sheetViews>
  <sheetFormatPr defaultColWidth="53.42578125" defaultRowHeight="11.25" x14ac:dyDescent="0.2"/>
  <cols>
    <col min="1" max="1" width="2.7109375" style="15" bestFit="1" customWidth="1"/>
    <col min="2" max="2" width="72.7109375" style="15" customWidth="1"/>
    <col min="3" max="3" width="14.7109375" style="15" bestFit="1" customWidth="1"/>
    <col min="4" max="4" width="21" style="15" bestFit="1" customWidth="1"/>
    <col min="5" max="5" width="48.42578125" style="15" customWidth="1"/>
    <col min="6" max="6" width="8.42578125" style="15" bestFit="1" customWidth="1"/>
    <col min="7" max="7" width="5" style="27" bestFit="1" customWidth="1"/>
    <col min="8" max="8" width="5.28515625" style="27" bestFit="1" customWidth="1"/>
    <col min="9" max="16384" width="53.42578125" style="15"/>
  </cols>
  <sheetData>
    <row r="1" spans="1:8" s="16" customFormat="1" ht="33.75" x14ac:dyDescent="0.2">
      <c r="A1" s="39" t="str">
        <f>'Acceptance Tests'!A5</f>
        <v>Id</v>
      </c>
      <c r="B1" s="39" t="str">
        <f>'Acceptance Tests'!D5</f>
        <v>Acceptance Test</v>
      </c>
      <c r="C1" s="39" t="str">
        <f>'Acceptance Tests'!K5</f>
        <v>Link to MADI Artifacts</v>
      </c>
      <c r="D1" s="39" t="str">
        <f>'Acceptance Tests'!L5</f>
        <v>Requirement Breakdown
Unique Reference</v>
      </c>
      <c r="E1" s="39" t="str">
        <f>'Acceptance Tests'!R5</f>
        <v>Source</v>
      </c>
      <c r="F1" s="39" t="str">
        <f>'Acceptance Tests'!V5</f>
        <v>Target
Precision
Level</v>
      </c>
      <c r="G1" s="40" t="str">
        <f>'Acceptance Tests'!AA5</f>
        <v>Lmin</v>
      </c>
      <c r="H1" s="40" t="str">
        <f>'Acceptance Tests'!AB5</f>
        <v>Lmax</v>
      </c>
    </row>
    <row r="2" spans="1:8" ht="33.75" x14ac:dyDescent="0.2">
      <c r="A2" s="41">
        <f>'Acceptance Tests'!A6</f>
        <v>0</v>
      </c>
      <c r="B2" s="41" t="s">
        <v>93</v>
      </c>
      <c r="C2" s="41">
        <f>'Acceptance Tests'!K6</f>
        <v>0</v>
      </c>
      <c r="D2" s="41">
        <f>'Acceptance Tests'!L6</f>
        <v>0</v>
      </c>
      <c r="E2" s="41">
        <f>'Acceptance Tests'!R6</f>
        <v>0</v>
      </c>
      <c r="F2" s="42">
        <f>'Acceptance Tests'!V6</f>
        <v>0</v>
      </c>
      <c r="G2" s="43">
        <f>'Acceptance Tests'!AA6</f>
        <v>0</v>
      </c>
      <c r="H2" s="43">
        <f>'Acceptance Tests'!AB6</f>
        <v>0</v>
      </c>
    </row>
    <row r="3" spans="1:8" ht="33.75" x14ac:dyDescent="0.2">
      <c r="A3" s="41">
        <f>'Acceptance Tests'!A38</f>
        <v>0</v>
      </c>
      <c r="B3" s="41" t="s">
        <v>94</v>
      </c>
      <c r="C3" s="41">
        <f>'Acceptance Tests'!K38</f>
        <v>0</v>
      </c>
      <c r="D3" s="41">
        <f>'Acceptance Tests'!L38</f>
        <v>0</v>
      </c>
      <c r="E3" s="41">
        <f>'Acceptance Tests'!R38</f>
        <v>0</v>
      </c>
      <c r="F3" s="42">
        <f>'Acceptance Tests'!V38</f>
        <v>0</v>
      </c>
      <c r="G3" s="43">
        <f>'Acceptance Tests'!AA38</f>
        <v>0</v>
      </c>
      <c r="H3" s="43">
        <f>'Acceptance Tests'!AB38</f>
        <v>0</v>
      </c>
    </row>
    <row r="4" spans="1:8" ht="67.5" x14ac:dyDescent="0.2">
      <c r="A4" s="41">
        <f>'Acceptance Tests'!A21</f>
        <v>0</v>
      </c>
      <c r="B4" s="41" t="str">
        <f>'Acceptance Tests'!D21</f>
        <v>GIVEN logged in to the system as 
Test Lead, Master editor, Local editor
WHEN  chosing to create a test routine
THEN you should be able to add description and create a protocol(Add activities as check list).
You should aso be able to chose periodicity.(one time every morning other.)</v>
      </c>
      <c r="C4" s="41">
        <f>'Acceptance Tests'!K21</f>
        <v>0</v>
      </c>
      <c r="D4" s="41">
        <f>'Acceptance Tests'!L21</f>
        <v>0</v>
      </c>
      <c r="E4" s="41" t="str">
        <f>'Acceptance Tests'!R21</f>
        <v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v>
      </c>
      <c r="F4" s="42">
        <f>'Acceptance Tests'!V21</f>
        <v>0</v>
      </c>
      <c r="G4" s="43">
        <f>'Acceptance Tests'!AA21</f>
        <v>0</v>
      </c>
      <c r="H4" s="43">
        <f>'Acceptance Tests'!AB21</f>
        <v>0</v>
      </c>
    </row>
    <row r="5" spans="1:8" ht="157.5" x14ac:dyDescent="0.2">
      <c r="A5" s="41">
        <f>'Acceptance Tests'!A34</f>
        <v>0</v>
      </c>
      <c r="B5" s="41" t="str">
        <f>'Acceptance Tests'!D34</f>
        <v xml:space="preserve">GIVEN logged in to the system as 
Test Lead, Master editor, Local editor
WHEN  chosing to create a test case
THEN You should be able to chose to specify what truck function the test belongs to.
You should be able to add a description of the test and an expected result.
You should be able to chose for which variants and product class the test case are valid for.
You should be able to select a category for which the test belong (private,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Engineers.
</v>
      </c>
      <c r="C5" s="41">
        <f>'Acceptance Tests'!K34</f>
        <v>0</v>
      </c>
      <c r="D5" s="41" t="str">
        <f>'Acceptance Tests'!L34</f>
        <v>TCR1</v>
      </c>
      <c r="E5" s="41">
        <f>'Acceptance Tests'!R34</f>
        <v>0</v>
      </c>
      <c r="F5" s="42">
        <f>'Acceptance Tests'!V34</f>
        <v>0</v>
      </c>
      <c r="G5" s="43">
        <f>'Acceptance Tests'!AA34</f>
        <v>0</v>
      </c>
      <c r="H5" s="43">
        <f>'Acceptance Tests'!AB34</f>
        <v>0</v>
      </c>
    </row>
    <row r="6" spans="1:8" ht="78.75" x14ac:dyDescent="0.2">
      <c r="A6" s="41">
        <f>'Acceptance Tests'!A35</f>
        <v>0</v>
      </c>
      <c r="B6" s="41" t="str">
        <f>'Acceptance Tests'!D35</f>
        <v xml:space="preserve">GIVEN logged in to the system as 
Test Lead, Master editor, Local editor
WHEN chosing to edit a test case
THEN You should be able to edit data and save the test case.
Test case will get a new version.
The change will be logged (who and when).
</v>
      </c>
      <c r="C6" s="41">
        <f>'Acceptance Tests'!K35</f>
        <v>0</v>
      </c>
      <c r="D6" s="41" t="str">
        <f>'Acceptance Tests'!L35</f>
        <v>TCR2</v>
      </c>
      <c r="E6" s="41">
        <f>'Acceptance Tests'!R35</f>
        <v>0</v>
      </c>
      <c r="F6" s="42">
        <f>'Acceptance Tests'!V35</f>
        <v>0</v>
      </c>
      <c r="G6" s="43">
        <f>'Acceptance Tests'!AA35</f>
        <v>0</v>
      </c>
      <c r="H6" s="43">
        <f>'Acceptance Tests'!AB35</f>
        <v>0</v>
      </c>
    </row>
    <row r="7" spans="1:8" ht="33.75" x14ac:dyDescent="0.2">
      <c r="A7" s="41">
        <f>'Acceptance Tests'!A36</f>
        <v>0</v>
      </c>
      <c r="B7" s="41" t="str">
        <f>'Acceptance Tests'!D36</f>
        <v>GIVEN logged in to the system
WHEN chosing to view a test case
THEN You should be able to see the data connected to the test case</v>
      </c>
      <c r="C7" s="41">
        <f>'Acceptance Tests'!K36</f>
        <v>0</v>
      </c>
      <c r="D7" s="41" t="str">
        <f>'Acceptance Tests'!L36</f>
        <v>TCR3</v>
      </c>
      <c r="E7" s="41">
        <f>'Acceptance Tests'!R36</f>
        <v>0</v>
      </c>
      <c r="F7" s="42">
        <f>'Acceptance Tests'!V36</f>
        <v>0</v>
      </c>
      <c r="G7" s="43">
        <f>'Acceptance Tests'!AA36</f>
        <v>0</v>
      </c>
      <c r="H7" s="43">
        <f>'Acceptance Tests'!AB36</f>
        <v>0</v>
      </c>
    </row>
    <row r="8" spans="1:8" ht="56.25" x14ac:dyDescent="0.2">
      <c r="A8" s="41">
        <f>'Acceptance Tests'!A37</f>
        <v>0</v>
      </c>
      <c r="B8" s="41" t="str">
        <f>'Acceptance Tests'!D37</f>
        <v>GIVEN logged in as Master Editor to the system
WHEN selecting multiple test cases for editing
THEN You should be able to sort and select test cases and replace words in description and expected results for the selected test cases  or add or remove variants\product classes</v>
      </c>
      <c r="C8" s="41">
        <f>'Acceptance Tests'!K37</f>
        <v>0</v>
      </c>
      <c r="D8" s="41">
        <f>'Acceptance Tests'!L37</f>
        <v>0</v>
      </c>
      <c r="E8" s="41" t="str">
        <f>'Acceptance Tests'!R37</f>
        <v>AM] As a Master Editor, I want to select multiple test cases and make the same change/addition to all of them. Get away from repetitive and time consuming work.
Find &amp; Replace words in test case
 Add/remove variants / product classes</v>
      </c>
      <c r="F8" s="42">
        <f>'Acceptance Tests'!V37</f>
        <v>0</v>
      </c>
      <c r="G8" s="43">
        <f>'Acceptance Tests'!AA37</f>
        <v>0</v>
      </c>
      <c r="H8" s="43">
        <f>'Acceptance Tests'!AB37</f>
        <v>0</v>
      </c>
    </row>
    <row r="9" spans="1:8" ht="56.25" x14ac:dyDescent="0.2">
      <c r="A9" s="41">
        <f>'Acceptance Tests'!A62</f>
        <v>0</v>
      </c>
      <c r="B9" s="41" t="str">
        <f>'Acceptance Tests'!D62</f>
        <v>GIVEN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C9" s="41">
        <f>'Acceptance Tests'!K62</f>
        <v>0</v>
      </c>
      <c r="D9" s="41">
        <f>'Acceptance Tests'!L62</f>
        <v>0</v>
      </c>
      <c r="E9" s="41" t="str">
        <f>'Acceptance Tests'!R62</f>
        <v>AM] As a Master Editor, I want a changelog of all changes made in test cases and be able to export a list of changes between two dates. To inform interested parties of changes made.</v>
      </c>
      <c r="F9" s="42">
        <f>'Acceptance Tests'!V62</f>
        <v>0</v>
      </c>
      <c r="G9" s="43">
        <f>'Acceptance Tests'!AA62</f>
        <v>0</v>
      </c>
      <c r="H9" s="43">
        <f>'Acceptance Tests'!AB62</f>
        <v>0</v>
      </c>
    </row>
    <row r="10" spans="1:8" ht="45" x14ac:dyDescent="0.2">
      <c r="A10" s="41">
        <f>'Acceptance Tests'!A63</f>
        <v>0</v>
      </c>
      <c r="B10" s="41" t="str">
        <f>'Acceptance Tests'!D63</f>
        <v>GIVEN logged in as Master Editor to the system
WHEN Chosing a test sequence or a test case
THEN You should be able to see when test sequence or tests within the sequence were latest used. (This is needed to be able to sort\hide or remove test cases).</v>
      </c>
      <c r="C10" s="41">
        <f>'Acceptance Tests'!K63</f>
        <v>0</v>
      </c>
      <c r="D10" s="41">
        <f>'Acceptance Tests'!L63</f>
        <v>0</v>
      </c>
      <c r="E10" s="41" t="str">
        <f>'Acceptance Tests'!R63</f>
        <v>[AM] As a Master Editor, I want to see when a test case and test sequence was last used (Exported). To be able to manage (delete/hide/sort) unused test cases and sequences.</v>
      </c>
      <c r="F10" s="42">
        <f>'Acceptance Tests'!V63</f>
        <v>0</v>
      </c>
      <c r="G10" s="43">
        <f>'Acceptance Tests'!AA63</f>
        <v>0</v>
      </c>
      <c r="H10" s="43">
        <f>'Acceptance Tests'!AB63</f>
        <v>0</v>
      </c>
    </row>
    <row r="11" spans="1:8" ht="45" x14ac:dyDescent="0.2">
      <c r="A11" s="41">
        <f>'Acceptance Tests'!A30</f>
        <v>0</v>
      </c>
      <c r="B11" s="41" t="str">
        <f>'Acceptance Tests'!D30</f>
        <v>GIVEN logged in as Master Editor to the system
WHEN When updating a test case creating a new version
THEN You should be able to address owners of custom test sequence about the change through the system. Be able to send out a  notice or similar.</v>
      </c>
      <c r="C11" s="41">
        <f>'Acceptance Tests'!K30</f>
        <v>0</v>
      </c>
      <c r="D11" s="41">
        <f>'Acceptance Tests'!L30</f>
        <v>0</v>
      </c>
      <c r="E11" s="41" t="str">
        <f>'Acceptance Tests'!R30</f>
        <v>AM] As a Master Editor, when updating a existing test case (creating a new version) I want to be able to send out a notice to the oweners of custom test sequences using the test case.</v>
      </c>
      <c r="F11" s="42">
        <f>'Acceptance Tests'!V30</f>
        <v>0</v>
      </c>
      <c r="G11" s="43">
        <f>'Acceptance Tests'!AA30</f>
        <v>0</v>
      </c>
      <c r="H11" s="43">
        <f>'Acceptance Tests'!AB30</f>
        <v>0</v>
      </c>
    </row>
    <row r="12" spans="1:8" ht="33.75" x14ac:dyDescent="0.2">
      <c r="A12" s="41">
        <f>'Acceptance Tests'!A64</f>
        <v>0</v>
      </c>
      <c r="B12" s="41" t="str">
        <f>'Acceptance Tests'!D64</f>
        <v xml:space="preserve">GIVEN logged in as Master Editor to the system
WHEN 
THEN </v>
      </c>
      <c r="C12" s="41">
        <f>'Acceptance Tests'!K64</f>
        <v>0</v>
      </c>
      <c r="D12" s="41">
        <f>'Acceptance Tests'!L64</f>
        <v>0</v>
      </c>
      <c r="E12" s="41" t="str">
        <f>'Acceptance Tests'!R64</f>
        <v>[AM] As a Master Editor I would like the possiblity to keep an old version of a test case. Getting a notice when a new version of a test case is available.</v>
      </c>
      <c r="F12" s="42">
        <f>'Acceptance Tests'!V64</f>
        <v>0</v>
      </c>
      <c r="G12" s="43">
        <f>'Acceptance Tests'!AA64</f>
        <v>0</v>
      </c>
      <c r="H12" s="43">
        <f>'Acceptance Tests'!AB64</f>
        <v>0</v>
      </c>
    </row>
    <row r="13" spans="1:8" ht="45" x14ac:dyDescent="0.2">
      <c r="A13" s="41">
        <f>'Acceptance Tests'!A39</f>
        <v>0</v>
      </c>
      <c r="B13" s="41" t="str">
        <f>'Acceptance Tests'!D39</f>
        <v>GIVEN logged in as Master Editor to the system
WHEN You should be able to search test cases for different categories(truck functions).
THEN Should be possible to view test cases for different categories (truck functions)</v>
      </c>
      <c r="C13" s="41">
        <f>'Acceptance Tests'!K39</f>
        <v>0</v>
      </c>
      <c r="D13" s="41">
        <f>'Acceptance Tests'!L39</f>
        <v>0</v>
      </c>
      <c r="E13" s="41" t="str">
        <f>'Acceptance Tests'!R39</f>
        <v>AM] As a Local Editor, I want to have a good overview of how many test cases and of what type in all categories (truck functions). To have a quick way of detecting areas missing test cases or having too many.</v>
      </c>
      <c r="F13" s="42">
        <f>'Acceptance Tests'!V39</f>
        <v>0</v>
      </c>
      <c r="G13" s="43">
        <f>'Acceptance Tests'!AA39</f>
        <v>0</v>
      </c>
      <c r="H13" s="43">
        <f>'Acceptance Tests'!AB39</f>
        <v>0</v>
      </c>
    </row>
    <row r="14" spans="1:8" ht="45" x14ac:dyDescent="0.2">
      <c r="A14" s="41">
        <f>'Acceptance Tests'!A40</f>
        <v>0</v>
      </c>
      <c r="B14" s="41" t="str">
        <f>'Acceptance Tests'!D40</f>
        <v>GIVEN logged in as Local Editor to the system
WHEN When chosing to view test cases
THEN You should have an easy overview of test cases and a possibility to easily extract or share the data with people with no access to the system</v>
      </c>
      <c r="C14" s="41">
        <f>'Acceptance Tests'!K40</f>
        <v>0</v>
      </c>
      <c r="D14" s="41">
        <f>'Acceptance Tests'!L40</f>
        <v>0</v>
      </c>
      <c r="E14" s="41" t="str">
        <f>'Acceptance Tests'!R40</f>
        <v>AM] As a Local Editor, I want to have a quick and easy way of selecting test cases and export them. When receiving requests from people without access to the system to look at specific test cases.</v>
      </c>
      <c r="F14" s="42">
        <f>'Acceptance Tests'!V40</f>
        <v>0</v>
      </c>
      <c r="G14" s="43">
        <f>'Acceptance Tests'!AA40</f>
        <v>0</v>
      </c>
      <c r="H14" s="43">
        <f>'Acceptance Tests'!AB40</f>
        <v>0</v>
      </c>
    </row>
    <row r="15" spans="1:8" ht="33.75" x14ac:dyDescent="0.2">
      <c r="A15" s="41">
        <f>'Acceptance Tests'!A41</f>
        <v>0</v>
      </c>
      <c r="B15" s="41" t="str">
        <f>'Acceptance Tests'!D41</f>
        <v>GIVEN logged in as Local Editor to the system
WHEN when  choosing a variant for a specific product class
THEN You should see valid test cases for that variant and product class combination.</v>
      </c>
      <c r="C15" s="41">
        <f>'Acceptance Tests'!K41</f>
        <v>0</v>
      </c>
      <c r="D15" s="41">
        <f>'Acceptance Tests'!L41</f>
        <v>0</v>
      </c>
      <c r="E15" s="41">
        <f>'Acceptance Tests'!R41</f>
        <v>0</v>
      </c>
      <c r="F15" s="42">
        <f>'Acceptance Tests'!V41</f>
        <v>0</v>
      </c>
      <c r="G15" s="43">
        <f>'Acceptance Tests'!AA41</f>
        <v>0</v>
      </c>
      <c r="H15" s="43">
        <f>'Acceptance Tests'!AB41</f>
        <v>0</v>
      </c>
    </row>
    <row r="16" spans="1:8" ht="56.25" x14ac:dyDescent="0.2">
      <c r="A16" s="41">
        <f>'Acceptance Tests'!A42</f>
        <v>0</v>
      </c>
      <c r="B16" s="41" t="str">
        <f>'Acceptance Tests'!D42</f>
        <v>GIVEN logged in as Test Lead
WHEN when coosing one or more test cases you should be able to tag them with predefined tags as( back office, features, testcase version, navigation, raining, snow).  You should be able to add tags to one or more test cases
THEN Test cases should be updated with the tag.</v>
      </c>
      <c r="C16" s="41">
        <f>'Acceptance Tests'!K42</f>
        <v>0</v>
      </c>
      <c r="D16" s="41">
        <f>'Acceptance Tests'!L42</f>
        <v>0</v>
      </c>
      <c r="E16" s="41">
        <f>'Acceptance Tests'!R42</f>
        <v>0</v>
      </c>
      <c r="F16" s="42">
        <f>'Acceptance Tests'!V42</f>
        <v>0</v>
      </c>
      <c r="G16" s="43">
        <f>'Acceptance Tests'!AA42</f>
        <v>0</v>
      </c>
      <c r="H16" s="43">
        <f>'Acceptance Tests'!AB42</f>
        <v>0</v>
      </c>
    </row>
    <row r="17" spans="1:9" ht="33.75" x14ac:dyDescent="0.2">
      <c r="A17" s="41">
        <f>'Acceptance Tests'!A65</f>
        <v>0</v>
      </c>
      <c r="B17" s="41" t="str">
        <f>'Acceptance Tests'!D65</f>
        <v xml:space="preserve">GIVEN logged in as Local Editor to the system
WHEN HUR SKALL DETTA FUNKA!
THEN </v>
      </c>
      <c r="C17" s="41">
        <f>'Acceptance Tests'!K65</f>
        <v>0</v>
      </c>
      <c r="D17" s="41">
        <f>'Acceptance Tests'!L65</f>
        <v>0</v>
      </c>
      <c r="E17" s="41" t="str">
        <f>'Acceptance Tests'!R65</f>
        <v>[UR] As a Local Editor, I want a quick overview of the variants in a particular Product Class which do not have test cases so as to ensure no variant in a PC is missed from testing.</v>
      </c>
      <c r="F17" s="42">
        <f>'Acceptance Tests'!V65</f>
        <v>0</v>
      </c>
      <c r="G17" s="43">
        <f>'Acceptance Tests'!AA65</f>
        <v>0</v>
      </c>
      <c r="H17" s="43">
        <f>'Acceptance Tests'!AB65</f>
        <v>0</v>
      </c>
    </row>
    <row r="18" spans="1:9" ht="33.75" x14ac:dyDescent="0.2">
      <c r="A18" s="41">
        <f>'Acceptance Tests'!A68</f>
        <v>0</v>
      </c>
      <c r="B18" s="41" t="str">
        <f>'Acceptance Tests'!D68</f>
        <v xml:space="preserve">GIVEN logged in as Local editor to the system
WHEN HUR SKALL DETTA FUNKA!
THEN </v>
      </c>
      <c r="C18" s="41">
        <f>'Acceptance Tests'!K68</f>
        <v>0</v>
      </c>
      <c r="D18" s="41">
        <f>'Acceptance Tests'!L68</f>
        <v>0</v>
      </c>
      <c r="E18" s="41" t="str">
        <f>'Acceptance Tests'!R68</f>
        <v>UR] As a Local Editor, I want a platform where I can receive changes related to a Function directly from commodity in order to reduce the time to update test cases when any solution is changed</v>
      </c>
      <c r="F18" s="42">
        <f>'Acceptance Tests'!V68</f>
        <v>0</v>
      </c>
      <c r="G18" s="43">
        <f>'Acceptance Tests'!AA68</f>
        <v>0</v>
      </c>
      <c r="H18" s="43">
        <f>'Acceptance Tests'!AB68</f>
        <v>0</v>
      </c>
    </row>
    <row r="19" spans="1:9" ht="33.75" x14ac:dyDescent="0.2">
      <c r="A19" s="41">
        <f>'Acceptance Tests'!A66</f>
        <v>0</v>
      </c>
      <c r="B19" s="41" t="str">
        <f>'Acceptance Tests'!D66</f>
        <v xml:space="preserve">GIVEN logged in as Test Engineer to the system
WHEN HUR SKALL DETTA FUNKA!
THEN </v>
      </c>
      <c r="C19" s="41">
        <f>'Acceptance Tests'!K66</f>
        <v>0</v>
      </c>
      <c r="D19" s="41">
        <f>'Acceptance Tests'!L66</f>
        <v>0</v>
      </c>
      <c r="E19" s="41" t="str">
        <f>'Acceptance Tests'!R66</f>
        <v>[TL] As a test engineer, I want to be able to in some way mark a testcode so it is not available to perform until another testcase is finished.(or task performed by Test Engineer)</v>
      </c>
      <c r="F19" s="42">
        <f>'Acceptance Tests'!V66</f>
        <v>0</v>
      </c>
      <c r="G19" s="43">
        <f>'Acceptance Tests'!AA66</f>
        <v>0</v>
      </c>
      <c r="H19" s="43">
        <f>'Acceptance Tests'!AB66</f>
        <v>0</v>
      </c>
    </row>
    <row r="20" spans="1:9" ht="45" x14ac:dyDescent="0.2">
      <c r="A20" s="41">
        <f>'Acceptance Tests'!A43</f>
        <v>0</v>
      </c>
      <c r="B20" s="41" t="str">
        <f>'Acceptance Tests'!D43</f>
        <v>GIVEN logged in as Test Engineer to the system
WHEN Editing a test case you should have the possibility to add tags to the test case from a pre-defined list.
THEN Test case should be updated with tags as attributes that should be searchable.</v>
      </c>
      <c r="C20" s="41">
        <f>'Acceptance Tests'!K43</f>
        <v>0</v>
      </c>
      <c r="D20" s="41">
        <f>'Acceptance Tests'!L43</f>
        <v>0</v>
      </c>
      <c r="E20" s="41" t="str">
        <f>'Acceptance Tests'!R43</f>
        <v>[TL] As a test engineer, I want to be able to mark the testcases with different tags as back office, features, testcase version, navigation, raining, snow etc</v>
      </c>
      <c r="F20" s="42">
        <f>'Acceptance Tests'!V43</f>
        <v>0</v>
      </c>
      <c r="G20" s="43">
        <f>'Acceptance Tests'!AA43</f>
        <v>0</v>
      </c>
      <c r="H20" s="43">
        <f>'Acceptance Tests'!AB43</f>
        <v>0</v>
      </c>
    </row>
    <row r="21" spans="1:9" ht="67.5" x14ac:dyDescent="0.2">
      <c r="A21" s="41">
        <f>'Acceptance Tests'!A67</f>
        <v>0</v>
      </c>
      <c r="B21" s="41" t="str">
        <f>'Acceptance Tests'!D67</f>
        <v xml:space="preserve">GIVEN logged in as Test Engineer to the system
WHEN 
THEN </v>
      </c>
      <c r="C21" s="41">
        <f>'Acceptance Tests'!K67</f>
        <v>0</v>
      </c>
      <c r="D21" s="41">
        <f>'Acceptance Tests'!L67</f>
        <v>0</v>
      </c>
      <c r="E21" s="41" t="str">
        <f>'Acceptance Tests'!R67</f>
        <v>[TL]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v>
      </c>
      <c r="F21" s="42">
        <f>'Acceptance Tests'!V67</f>
        <v>0</v>
      </c>
      <c r="G21" s="43">
        <f>'Acceptance Tests'!AA67</f>
        <v>0</v>
      </c>
      <c r="H21" s="43">
        <f>'Acceptance Tests'!AB67</f>
        <v>0</v>
      </c>
    </row>
    <row r="22" spans="1:9" ht="45" x14ac:dyDescent="0.2">
      <c r="A22" s="41">
        <f>'Acceptance Tests'!A44</f>
        <v>0</v>
      </c>
      <c r="B22" s="41" t="str">
        <f>'Acceptance Tests'!D44</f>
        <v>GIVEN logged in as Test Engineer to the system
WHEN Editing a test case you should have the possibility to add attachements to a test case
THEN The attachement should be added to the test case and it should be possible to click the attachement viewing the test case</v>
      </c>
      <c r="C22" s="41">
        <f>'Acceptance Tests'!K44</f>
        <v>0</v>
      </c>
      <c r="D22" s="41">
        <f>'Acceptance Tests'!L44</f>
        <v>0</v>
      </c>
      <c r="E22" s="41" t="str">
        <f>'Acceptance Tests'!R44</f>
        <v>[TL] As a test engineer, I want to be able to add picture or video to test case.</v>
      </c>
      <c r="F22" s="42">
        <f>'Acceptance Tests'!V44</f>
        <v>0</v>
      </c>
      <c r="G22" s="43">
        <f>'Acceptance Tests'!AA44</f>
        <v>0</v>
      </c>
      <c r="H22" s="43">
        <f>'Acceptance Tests'!AB44</f>
        <v>0</v>
      </c>
    </row>
    <row r="23" spans="1:9" ht="56.25" x14ac:dyDescent="0.2">
      <c r="A23" s="41">
        <f>'Acceptance Tests'!A31</f>
        <v>0</v>
      </c>
      <c r="B23" s="41" t="str">
        <f>'Acceptance Tests'!D31</f>
        <v>GIVEN logged in as Test Engineer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C23" s="41">
        <f>'Acceptance Tests'!K31</f>
        <v>0</v>
      </c>
      <c r="D23" s="41">
        <f>'Acceptance Tests'!L31</f>
        <v>0</v>
      </c>
      <c r="E23" s="41" t="str">
        <f>'Acceptance Tests'!R31</f>
        <v>[TL] As a test engineer, I want to be able to create test sequences from product class and variants. It should be possible to sort from different tags or marks.</v>
      </c>
      <c r="F23" s="42">
        <f>'Acceptance Tests'!V31</f>
        <v>0</v>
      </c>
      <c r="G23" s="43">
        <f>'Acceptance Tests'!AA31</f>
        <v>0</v>
      </c>
      <c r="H23" s="43">
        <f>'Acceptance Tests'!AB31</f>
        <v>0</v>
      </c>
    </row>
    <row r="24" spans="1:9" ht="45" x14ac:dyDescent="0.2">
      <c r="A24" s="41">
        <f>'Acceptance Tests'!A60</f>
        <v>0</v>
      </c>
      <c r="B24" s="41" t="str">
        <f>'Acceptance Tests'!D60</f>
        <v>GIVEN logged in as Test Engineer to the system
WHEN working with your test sequence/test method you should be able to retrieve and add test cases built for other product classes(sites)
THEN Test cases should be added to your test sequence / test method</v>
      </c>
      <c r="C24" s="41">
        <f>'Acceptance Tests'!K60</f>
        <v>0</v>
      </c>
      <c r="D24" s="41">
        <f>'Acceptance Tests'!L60</f>
        <v>0</v>
      </c>
      <c r="E24" s="41" t="str">
        <f>'Acceptance Tests'!R60</f>
        <v>As a test engineer, I want to be able to add test cases from other product classes, variants or development test cases.</v>
      </c>
      <c r="F24" s="42">
        <f>'Acceptance Tests'!V60</f>
        <v>0</v>
      </c>
      <c r="G24" s="43">
        <f>'Acceptance Tests'!AA60</f>
        <v>0</v>
      </c>
      <c r="H24" s="43">
        <f>'Acceptance Tests'!AB60</f>
        <v>0</v>
      </c>
    </row>
    <row r="25" spans="1:9" ht="45" x14ac:dyDescent="0.2">
      <c r="A25" s="41">
        <f>'Acceptance Tests'!A45</f>
        <v>0</v>
      </c>
      <c r="B25" s="41" t="str">
        <f>'Acceptance Tests'!D45</f>
        <v>GIVEN logged in as a Global Responsible
WHEN Searching for test cases or clicking on a test case there should always be an english description and result text for it.
THEN You should be presented with English text.</v>
      </c>
      <c r="C25" s="41">
        <f>'Acceptance Tests'!K45</f>
        <v>0</v>
      </c>
      <c r="D25" s="41">
        <f>'Acceptance Tests'!L45</f>
        <v>0</v>
      </c>
      <c r="E25" s="41" t="str">
        <f>'Acceptance Tests'!R45</f>
        <v>[TL] As a global responsible, I want that there always is a English testcase in the background for all testcases so you can check all tests done on it.</v>
      </c>
      <c r="F25" s="42">
        <f>'Acceptance Tests'!V45</f>
        <v>0</v>
      </c>
      <c r="G25" s="43">
        <f>'Acceptance Tests'!AA45</f>
        <v>0</v>
      </c>
      <c r="H25" s="43">
        <f>'Acceptance Tests'!AB45</f>
        <v>0</v>
      </c>
    </row>
    <row r="26" spans="1:9" ht="67.5" x14ac:dyDescent="0.2">
      <c r="A26" s="41">
        <f>'Acceptance Tests'!A46</f>
        <v>0</v>
      </c>
      <c r="B26" s="41" t="str">
        <f>'Acceptance Tests'!D46</f>
        <v>GIVEN You are logged in as a Global Responsible
WHEN looking at a specific test case: 
 if it exist for other product classes
It should be possible to view description and expected result
THEN You should be presented with description and expected result for the different product classes using the test case.</v>
      </c>
      <c r="C26" s="41">
        <f>'Acceptance Tests'!K46</f>
        <v>0</v>
      </c>
      <c r="D26" s="41">
        <f>'Acceptance Tests'!L46</f>
        <v>0</v>
      </c>
      <c r="E26" s="41" t="str">
        <f>'Acceptance Tests'!R46</f>
        <v>[TL] As a global responsible, I want to be able to see all variants of the testcase for all specs and product classes</v>
      </c>
      <c r="F26" s="42">
        <f>'Acceptance Tests'!V46</f>
        <v>0</v>
      </c>
      <c r="G26" s="43">
        <f>'Acceptance Tests'!AA46</f>
        <v>0</v>
      </c>
      <c r="H26" s="43">
        <f>'Acceptance Tests'!AB46</f>
        <v>0</v>
      </c>
    </row>
    <row r="27" spans="1:9" ht="33.75" x14ac:dyDescent="0.2">
      <c r="A27" s="41">
        <f>'Acceptance Tests'!A32</f>
        <v>0</v>
      </c>
      <c r="B27" s="41" t="str">
        <f>'Acceptance Tests'!D32</f>
        <v>GIVEN logged in as Test Engineer to the system
WHEN creating test sequences they should be easily accessed
THEN I will easily find sequences and will be able to use them.</v>
      </c>
      <c r="C27" s="41">
        <f>'Acceptance Tests'!K32</f>
        <v>0</v>
      </c>
      <c r="D27" s="41">
        <f>'Acceptance Tests'!L32</f>
        <v>0</v>
      </c>
      <c r="E27" s="41" t="str">
        <f>'Acceptance Tests'!R32</f>
        <v>[CL] As a test engineer, i want to store my test sequences automatically in easy to find location within the tool.</v>
      </c>
      <c r="F27" s="42">
        <f>'Acceptance Tests'!V32</f>
        <v>0</v>
      </c>
      <c r="G27" s="43">
        <f>'Acceptance Tests'!AA32</f>
        <v>0</v>
      </c>
      <c r="H27" s="43">
        <f>'Acceptance Tests'!AB32</f>
        <v>0</v>
      </c>
    </row>
    <row r="28" spans="1:9" ht="33.75" x14ac:dyDescent="0.2">
      <c r="A28" s="41">
        <f>'Acceptance Tests'!A47</f>
        <v>0</v>
      </c>
      <c r="B28" s="41" t="str">
        <f>'Acceptance Tests'!D47</f>
        <v>GIVEN You are logged in as Master Editor 
WHEN A change is made to a variant filter (I.e. new product class is included)
THEN You should be presented with the change</v>
      </c>
      <c r="C28" s="41">
        <f>'Acceptance Tests'!K47</f>
        <v>0</v>
      </c>
      <c r="D28" s="41">
        <f>'Acceptance Tests'!L47</f>
        <v>0</v>
      </c>
      <c r="E28" s="41" t="str">
        <f>'Acceptance Tests'!R47</f>
        <v>[AM] As a Master Editor, I want to get feedback right away when a change is made in variant filter. If product classes are included, if a variant exist in product class. "Extended syntax check"</v>
      </c>
      <c r="F28" s="42">
        <f>'Acceptance Tests'!V47</f>
        <v>0</v>
      </c>
      <c r="G28" s="43">
        <f>'Acceptance Tests'!AA47</f>
        <v>0</v>
      </c>
      <c r="H28" s="43">
        <f>'Acceptance Tests'!AB47</f>
        <v>0</v>
      </c>
    </row>
    <row r="29" spans="1:9" x14ac:dyDescent="0.2">
      <c r="E29" s="39" t="e">
        <f>'Acceptance Tests'!#REF!</f>
        <v>#REF!</v>
      </c>
      <c r="F29" s="44" t="e">
        <f>'Acceptance Tests'!#REF!</f>
        <v>#REF!</v>
      </c>
      <c r="G29" s="43" t="e">
        <f>'Acceptance Tests'!#REF!</f>
        <v>#REF!</v>
      </c>
      <c r="H29" s="43" t="e">
        <f>'Acceptance Tests'!#REF!</f>
        <v>#REF!</v>
      </c>
      <c r="I29" s="84" t="e">
        <f>'Acceptance Tests'!#REF!</f>
        <v>#REF!</v>
      </c>
    </row>
    <row r="30" spans="1:9" x14ac:dyDescent="0.2">
      <c r="E30" s="39" t="e">
        <f>'Acceptance Tests'!#REF!</f>
        <v>#REF!</v>
      </c>
      <c r="F30" s="44" t="e">
        <f>'Acceptance Tests'!#REF!</f>
        <v>#REF!</v>
      </c>
      <c r="G30" s="43" t="e">
        <f>'Acceptance Tests'!#REF!</f>
        <v>#REF!</v>
      </c>
      <c r="H30" s="43" t="e">
        <f>'Acceptance Tests'!#REF!</f>
        <v>#REF!</v>
      </c>
      <c r="I30" s="84" t="e">
        <f>'Acceptance Tests'!#REF!</f>
        <v>#REF!</v>
      </c>
    </row>
    <row r="31" spans="1:9" x14ac:dyDescent="0.2">
      <c r="E31" s="39" t="e">
        <f>'Acceptance Tests'!#REF!</f>
        <v>#REF!</v>
      </c>
      <c r="F31" s="44" t="e">
        <f>'Acceptance Tests'!#REF!</f>
        <v>#REF!</v>
      </c>
      <c r="G31" s="43" t="e">
        <f>'Acceptance Tests'!#REF!</f>
        <v>#REF!</v>
      </c>
      <c r="H31" s="43" t="e">
        <f>'Acceptance Tests'!#REF!</f>
        <v>#REF!</v>
      </c>
      <c r="I31" s="84" t="e">
        <f>'Acceptance Tests'!#REF!</f>
        <v>#REF!</v>
      </c>
    </row>
    <row r="32" spans="1:9" x14ac:dyDescent="0.2">
      <c r="E32" s="39" t="e">
        <f>'Acceptance Tests'!#REF!</f>
        <v>#REF!</v>
      </c>
      <c r="F32" s="39" t="e">
        <f>'Acceptance Tests'!#REF!</f>
        <v>#REF!</v>
      </c>
      <c r="G32" s="43" t="e">
        <f>'Acceptance Tests'!#REF!</f>
        <v>#REF!</v>
      </c>
      <c r="H32" s="43" t="e">
        <f>'Acceptance Tests'!#REF!</f>
        <v>#REF!</v>
      </c>
      <c r="I32" s="84" t="e">
        <f>'Acceptance Tests'!#REF!</f>
        <v>#REF!</v>
      </c>
    </row>
    <row r="33" spans="5:9" x14ac:dyDescent="0.2">
      <c r="E33" s="39" t="e">
        <f>'Acceptance Tests'!#REF!</f>
        <v>#REF!</v>
      </c>
      <c r="F33" s="39" t="e">
        <f>'Acceptance Tests'!#REF!</f>
        <v>#REF!</v>
      </c>
      <c r="G33" s="43" t="e">
        <f>'Acceptance Tests'!#REF!</f>
        <v>#REF!</v>
      </c>
      <c r="H33" s="43" t="e">
        <f>'Acceptance Tests'!#REF!</f>
        <v>#REF!</v>
      </c>
      <c r="I33" s="84" t="e">
        <f>'Acceptance Tests'!#REF!</f>
        <v>#REF!</v>
      </c>
    </row>
    <row r="34" spans="5:9" x14ac:dyDescent="0.2">
      <c r="E34" s="41"/>
      <c r="F34" s="39" t="e">
        <f>'Acceptance Tests'!#REF!</f>
        <v>#REF!</v>
      </c>
      <c r="G34" s="43" t="e">
        <f>'Acceptance Tests'!#REF!</f>
        <v>#REF!</v>
      </c>
      <c r="H34" s="43" t="e">
        <f>'Acceptance Tests'!#REF!</f>
        <v>#REF!</v>
      </c>
      <c r="I34" s="84" t="e">
        <f>'Acceptance Tests'!#REF!</f>
        <v>#REF!</v>
      </c>
    </row>
  </sheetData>
  <pageMargins left="0.7" right="0.7" top="0.75" bottom="0.75" header="0.3" footer="0.3"/>
  <pageSetup orientation="portrait" horizontalDpi="300" verticalDpi="0" copies="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E35"/>
  <sheetViews>
    <sheetView zoomScale="90" zoomScaleNormal="90" workbookViewId="0">
      <pane xSplit="5" ySplit="3" topLeftCell="F4" activePane="bottomRight" state="frozen"/>
      <selection pane="topRight" activeCell="B1" sqref="B1"/>
      <selection pane="bottomLeft" activeCell="A2" sqref="A2"/>
      <selection pane="bottomRight" activeCell="AD36" sqref="AD36"/>
    </sheetView>
  </sheetViews>
  <sheetFormatPr defaultColWidth="79.42578125" defaultRowHeight="12.75" x14ac:dyDescent="0.2"/>
  <cols>
    <col min="1" max="1" width="9.7109375" style="13" bestFit="1" customWidth="1"/>
    <col min="2" max="2" width="4" style="13" bestFit="1" customWidth="1"/>
    <col min="3" max="3" width="15.5703125" style="6" customWidth="1"/>
    <col min="4" max="4" width="15.28515625" style="52" bestFit="1" customWidth="1"/>
    <col min="5" max="5" width="12" style="6" customWidth="1"/>
    <col min="6" max="6" width="11.7109375" style="6" bestFit="1" customWidth="1"/>
    <col min="7" max="7" width="8.42578125" style="52" bestFit="1" customWidth="1"/>
    <col min="8" max="8" width="9.42578125" style="14" bestFit="1" customWidth="1"/>
    <col min="9" max="9" width="10.42578125" style="14" bestFit="1" customWidth="1"/>
    <col min="10" max="10" width="9.42578125" style="14" bestFit="1" customWidth="1"/>
    <col min="11" max="11" width="9.42578125" style="14" customWidth="1"/>
    <col min="12" max="12" width="9.5703125" style="14" hidden="1" customWidth="1"/>
    <col min="13" max="13" width="12" style="14" hidden="1" customWidth="1"/>
    <col min="14" max="14" width="9.42578125" style="14" bestFit="1" customWidth="1"/>
    <col min="15" max="15" width="10.42578125" style="14" bestFit="1" customWidth="1"/>
    <col min="16" max="20" width="9.42578125" style="14" bestFit="1" customWidth="1"/>
    <col min="21" max="21" width="6" style="14" bestFit="1" customWidth="1"/>
    <col min="22" max="23" width="12.85546875" style="14" customWidth="1"/>
    <col min="24" max="27" width="12.7109375" style="14" customWidth="1"/>
    <col min="28" max="28" width="16.140625" style="14" customWidth="1"/>
    <col min="29" max="29" width="16.5703125" style="14" customWidth="1"/>
    <col min="30" max="30" width="13.85546875" style="14" bestFit="1" customWidth="1"/>
    <col min="31" max="31" width="9.5703125" style="14" bestFit="1" customWidth="1"/>
    <col min="32" max="16384" width="79.42578125" style="13"/>
  </cols>
  <sheetData>
    <row r="1" spans="1:31" ht="15.75" x14ac:dyDescent="0.25">
      <c r="A1" s="96" t="s">
        <v>57</v>
      </c>
      <c r="B1" s="96"/>
      <c r="C1" s="96"/>
      <c r="D1" s="96"/>
      <c r="E1" s="96"/>
    </row>
    <row r="3" spans="1:31" s="17" customFormat="1" ht="38.25" x14ac:dyDescent="0.2">
      <c r="A3" s="49" t="s">
        <v>48</v>
      </c>
      <c r="B3" s="49" t="s">
        <v>26</v>
      </c>
      <c r="C3" s="49" t="s">
        <v>47</v>
      </c>
      <c r="D3" s="51" t="s">
        <v>58</v>
      </c>
      <c r="E3" s="49" t="s">
        <v>39</v>
      </c>
      <c r="F3" s="49" t="s">
        <v>23</v>
      </c>
      <c r="G3" s="51" t="s">
        <v>24</v>
      </c>
      <c r="H3" s="50" t="s">
        <v>16</v>
      </c>
      <c r="I3" s="50" t="s">
        <v>18</v>
      </c>
      <c r="J3" s="50" t="s">
        <v>17</v>
      </c>
      <c r="K3" s="50" t="s">
        <v>19</v>
      </c>
      <c r="L3" s="50" t="s">
        <v>20</v>
      </c>
      <c r="M3" s="50" t="s">
        <v>21</v>
      </c>
      <c r="N3" s="50" t="s">
        <v>55</v>
      </c>
      <c r="O3" s="50" t="s">
        <v>56</v>
      </c>
      <c r="P3" s="50" t="s">
        <v>59</v>
      </c>
      <c r="Q3" s="50" t="s">
        <v>60</v>
      </c>
      <c r="R3" s="50" t="s">
        <v>61</v>
      </c>
      <c r="S3" s="50" t="s">
        <v>62</v>
      </c>
      <c r="T3" s="50" t="s">
        <v>63</v>
      </c>
      <c r="U3" s="50" t="s">
        <v>64</v>
      </c>
      <c r="V3" s="50" t="s">
        <v>65</v>
      </c>
      <c r="W3" s="50" t="s">
        <v>66</v>
      </c>
      <c r="X3" s="50" t="s">
        <v>67</v>
      </c>
      <c r="Y3" s="50" t="s">
        <v>68</v>
      </c>
      <c r="Z3" s="50" t="s">
        <v>75</v>
      </c>
      <c r="AA3" s="50" t="s">
        <v>76</v>
      </c>
      <c r="AB3" s="50" t="s">
        <v>69</v>
      </c>
      <c r="AC3" s="50" t="s">
        <v>70</v>
      </c>
      <c r="AD3" s="50" t="s">
        <v>71</v>
      </c>
      <c r="AE3" s="50" t="s">
        <v>72</v>
      </c>
    </row>
    <row r="4" spans="1:31" x14ac:dyDescent="0.2">
      <c r="A4" s="55" t="str">
        <f>CONCATENATE(B4,":",D4)</f>
        <v>:</v>
      </c>
      <c r="B4" s="56"/>
      <c r="C4" s="55" t="e">
        <f>VLOOKUP(B4,'Acceptance Tests'!$A$6:$D$68,COLUMN('Acceptance Tests'!$D$6)-COLUMN('Acceptance Tests'!$A$6)+1,FALSE)</f>
        <v>#N/A</v>
      </c>
      <c r="D4" s="58"/>
      <c r="E4" s="56"/>
      <c r="F4" s="57"/>
      <c r="G4" s="63" t="e">
        <f>VLOOKUP($B4,'Acceptance Tests'!A$6:P$68,COLUMN('Acceptance Tests'!P$6)-COLUMN('Acceptance Tests'!A$6)+1,FALSE)</f>
        <v>#N/A</v>
      </c>
      <c r="H4" s="64"/>
      <c r="I4" s="64"/>
      <c r="J4" s="64"/>
      <c r="K4" s="63">
        <f t="shared" ref="K4:K30" si="0">(H4+(3*J4)+I4)/5</f>
        <v>0</v>
      </c>
      <c r="L4" s="63">
        <f t="shared" ref="L4:L30" si="1">(I4-H4)/5</f>
        <v>0</v>
      </c>
      <c r="M4" s="63">
        <f t="shared" ref="M4:M31" si="2">L4*L4</f>
        <v>0</v>
      </c>
      <c r="N4" s="63">
        <f>ROUND(K4-(ROUND(SQRT(M4),0)),0)</f>
        <v>0</v>
      </c>
      <c r="O4" s="63">
        <f>ROUND(K4+(ROUND(SQRT(M4),0)),0)</f>
        <v>0</v>
      </c>
      <c r="P4" s="63">
        <f t="shared" ref="P4:P30" si="3">K4</f>
        <v>0</v>
      </c>
      <c r="Q4" s="65">
        <f t="shared" ref="Q4:Q19" si="4">P4</f>
        <v>0</v>
      </c>
      <c r="R4" s="65">
        <f t="shared" ref="R4:R30" si="5">Q4</f>
        <v>0</v>
      </c>
      <c r="S4" s="65">
        <f t="shared" ref="S4:S30" si="6">R4</f>
        <v>0</v>
      </c>
      <c r="T4" s="65">
        <f t="shared" ref="T4:T30" si="7">S4</f>
        <v>0</v>
      </c>
      <c r="U4" s="65">
        <f t="shared" ref="U4:U30" si="8">T4</f>
        <v>0</v>
      </c>
      <c r="V4" s="69" t="e">
        <f ca="1">SUMIF(G$4:G$30,G4,OFFSET(P$4:P$30,0,AE4))</f>
        <v>#N/A</v>
      </c>
      <c r="W4" s="69" t="e">
        <f ca="1">SUMIF(B$4:B$30,B4,OFFSET(P$4:P$30,0,AE4))</f>
        <v>#N/A</v>
      </c>
      <c r="X4" s="69" t="e">
        <f ca="1">IF(AND(W4=0,D4=1),B4,0)</f>
        <v>#N/A</v>
      </c>
      <c r="Y4" s="70" t="e">
        <f t="shared" ref="Y4:Y30" ca="1" si="9">IF($X4,SUMIF($B$4:$B$30,$B4,K$4:K$30),0)</f>
        <v>#N/A</v>
      </c>
      <c r="Z4" s="70" t="e">
        <f ca="1">IF($X4,SQRT(SUMIF($B$4:$B$30,$B4,M$4:M$30)),0)</f>
        <v>#N/A</v>
      </c>
      <c r="AA4" s="70" t="e">
        <f ca="1">IF($X4,Z4*Z4,0)</f>
        <v>#N/A</v>
      </c>
      <c r="AB4" s="70" t="e">
        <f ca="1">IF($X4,Y4-Z4,0)</f>
        <v>#N/A</v>
      </c>
      <c r="AC4" s="70" t="e">
        <f ca="1">IF($X4,Y4+Z4,0)</f>
        <v>#N/A</v>
      </c>
      <c r="AD4" s="54" t="s">
        <v>25</v>
      </c>
      <c r="AE4" s="54" t="e">
        <f>LOOKUP(G4,G$31:G$35,AE$31:AE$35)</f>
        <v>#N/A</v>
      </c>
    </row>
    <row r="5" spans="1:31" x14ac:dyDescent="0.2">
      <c r="A5" s="48" t="str">
        <f t="shared" ref="A5:A30" si="10">CONCATENATE(B5,":",D5)</f>
        <v>:</v>
      </c>
      <c r="B5" s="10"/>
      <c r="C5" s="55" t="e">
        <f>VLOOKUP(B5,'Acceptance Tests'!$A$6:$D$68,COLUMN('Acceptance Tests'!$D$6)-COLUMN('Acceptance Tests'!$A$6)+1,FALSE)</f>
        <v>#N/A</v>
      </c>
      <c r="D5" s="53"/>
      <c r="E5" s="10"/>
      <c r="F5" s="45"/>
      <c r="G5" s="63" t="e">
        <f>VLOOKUP($B5,'Acceptance Tests'!A$6:P$68,COLUMN('Acceptance Tests'!P$6)-COLUMN('Acceptance Tests'!A$6)+1,FALSE)</f>
        <v>#N/A</v>
      </c>
      <c r="H5" s="65"/>
      <c r="I5" s="65"/>
      <c r="J5" s="65"/>
      <c r="K5" s="66">
        <f t="shared" si="0"/>
        <v>0</v>
      </c>
      <c r="L5" s="66">
        <f t="shared" si="1"/>
        <v>0</v>
      </c>
      <c r="M5" s="66">
        <f t="shared" si="2"/>
        <v>0</v>
      </c>
      <c r="N5" s="66">
        <f t="shared" ref="N5:N31" si="11">ROUND(K5-(ROUND(SQRT(M5),0)),0)</f>
        <v>0</v>
      </c>
      <c r="O5" s="66">
        <f t="shared" ref="O5:O31" si="12">ROUND(K5+(ROUND(SQRT(M5),0)),0)</f>
        <v>0</v>
      </c>
      <c r="P5" s="66">
        <f t="shared" si="3"/>
        <v>0</v>
      </c>
      <c r="Q5" s="65">
        <f t="shared" si="4"/>
        <v>0</v>
      </c>
      <c r="R5" s="65">
        <f t="shared" si="5"/>
        <v>0</v>
      </c>
      <c r="S5" s="65">
        <f t="shared" si="6"/>
        <v>0</v>
      </c>
      <c r="T5" s="65">
        <f t="shared" si="7"/>
        <v>0</v>
      </c>
      <c r="U5" s="65">
        <f t="shared" si="8"/>
        <v>0</v>
      </c>
      <c r="V5" s="69" t="e">
        <f t="shared" ref="V5:V30" ca="1" si="13">SUMIF(G$4:G$30,G5,OFFSET(P$4:P$30,0,AE5))</f>
        <v>#N/A</v>
      </c>
      <c r="W5" s="69" t="e">
        <f t="shared" ref="W5:W30" ca="1" si="14">SUMIF(B$4:B$30,B5,OFFSET(P$4:P$30,0,AE5))</f>
        <v>#N/A</v>
      </c>
      <c r="X5" s="70" t="e">
        <f t="shared" ref="X5:X30" ca="1" si="15">IF(AND(W5=0,D5=1),B5,0)</f>
        <v>#N/A</v>
      </c>
      <c r="Y5" s="70" t="e">
        <f t="shared" ca="1" si="9"/>
        <v>#N/A</v>
      </c>
      <c r="Z5" s="70" t="e">
        <f t="shared" ref="Z5:Z30" ca="1" si="16">IF($X5,SQRT(SUMIF($B$4:$B$30,$B5,M$4:M$30)),0)</f>
        <v>#N/A</v>
      </c>
      <c r="AA5" s="70" t="e">
        <f t="shared" ref="AA5:AA30" ca="1" si="17">IF($X5,Z5*Z5,0)</f>
        <v>#N/A</v>
      </c>
      <c r="AB5" s="70" t="e">
        <f t="shared" ref="AB5:AB30" ca="1" si="18">IF($X5,Y5-Z5,0)</f>
        <v>#N/A</v>
      </c>
      <c r="AC5" s="70" t="e">
        <f t="shared" ref="AC5:AC30" ca="1" si="19">IF($X5,Y5+Z5,0)</f>
        <v>#N/A</v>
      </c>
      <c r="AD5" s="59" t="s">
        <v>25</v>
      </c>
      <c r="AE5" s="54" t="e">
        <f t="shared" ref="AE5:AE30" si="20">LOOKUP(G5,G$31:G$35,AE$31:AE$35)</f>
        <v>#N/A</v>
      </c>
    </row>
    <row r="6" spans="1:31" x14ac:dyDescent="0.2">
      <c r="A6" s="48" t="str">
        <f t="shared" si="10"/>
        <v>:</v>
      </c>
      <c r="B6" s="10"/>
      <c r="C6" s="55" t="e">
        <f>VLOOKUP(B6,'Acceptance Tests'!$A$6:$D$68,COLUMN('Acceptance Tests'!$D$6)-COLUMN('Acceptance Tests'!$A$6)+1,FALSE)</f>
        <v>#N/A</v>
      </c>
      <c r="D6" s="53"/>
      <c r="E6" s="10"/>
      <c r="F6" s="45"/>
      <c r="G6" s="63" t="e">
        <f>VLOOKUP($B6,'Acceptance Tests'!A$6:P$68,COLUMN('Acceptance Tests'!P$6)-COLUMN('Acceptance Tests'!A$6)+1,FALSE)</f>
        <v>#N/A</v>
      </c>
      <c r="H6" s="65"/>
      <c r="I6" s="65"/>
      <c r="J6" s="65"/>
      <c r="K6" s="66">
        <f t="shared" si="0"/>
        <v>0</v>
      </c>
      <c r="L6" s="66">
        <f t="shared" si="1"/>
        <v>0</v>
      </c>
      <c r="M6" s="66">
        <f t="shared" si="2"/>
        <v>0</v>
      </c>
      <c r="N6" s="66">
        <f t="shared" si="11"/>
        <v>0</v>
      </c>
      <c r="O6" s="66">
        <f t="shared" si="12"/>
        <v>0</v>
      </c>
      <c r="P6" s="66">
        <f t="shared" si="3"/>
        <v>0</v>
      </c>
      <c r="Q6" s="65">
        <f t="shared" si="4"/>
        <v>0</v>
      </c>
      <c r="R6" s="65">
        <f t="shared" si="5"/>
        <v>0</v>
      </c>
      <c r="S6" s="65">
        <f t="shared" si="6"/>
        <v>0</v>
      </c>
      <c r="T6" s="65">
        <f t="shared" si="7"/>
        <v>0</v>
      </c>
      <c r="U6" s="65">
        <f t="shared" si="8"/>
        <v>0</v>
      </c>
      <c r="V6" s="69" t="e">
        <f t="shared" ca="1" si="13"/>
        <v>#N/A</v>
      </c>
      <c r="W6" s="69" t="e">
        <f t="shared" ca="1" si="14"/>
        <v>#N/A</v>
      </c>
      <c r="X6" s="70" t="e">
        <f t="shared" ca="1" si="15"/>
        <v>#N/A</v>
      </c>
      <c r="Y6" s="70" t="e">
        <f t="shared" ca="1" si="9"/>
        <v>#N/A</v>
      </c>
      <c r="Z6" s="70" t="e">
        <f t="shared" ca="1" si="16"/>
        <v>#N/A</v>
      </c>
      <c r="AA6" s="70" t="e">
        <f t="shared" ca="1" si="17"/>
        <v>#N/A</v>
      </c>
      <c r="AB6" s="70" t="e">
        <f t="shared" ca="1" si="18"/>
        <v>#N/A</v>
      </c>
      <c r="AC6" s="70" t="e">
        <f t="shared" ca="1" si="19"/>
        <v>#N/A</v>
      </c>
      <c r="AD6" s="59" t="s">
        <v>25</v>
      </c>
      <c r="AE6" s="54" t="e">
        <f t="shared" si="20"/>
        <v>#N/A</v>
      </c>
    </row>
    <row r="7" spans="1:31" x14ac:dyDescent="0.2">
      <c r="A7" s="48" t="str">
        <f t="shared" si="10"/>
        <v>:</v>
      </c>
      <c r="B7" s="10"/>
      <c r="C7" s="55" t="e">
        <f>VLOOKUP(B7,'Acceptance Tests'!$A$6:$D$68,COLUMN('Acceptance Tests'!$D$6)-COLUMN('Acceptance Tests'!$A$6)+1,FALSE)</f>
        <v>#N/A</v>
      </c>
      <c r="D7" s="53"/>
      <c r="E7" s="10"/>
      <c r="F7" s="45"/>
      <c r="G7" s="63" t="e">
        <f>VLOOKUP($B7,'Acceptance Tests'!A$6:P$68,COLUMN('Acceptance Tests'!P$6)-COLUMN('Acceptance Tests'!A$6)+1,FALSE)</f>
        <v>#N/A</v>
      </c>
      <c r="H7" s="65"/>
      <c r="I7" s="65"/>
      <c r="J7" s="65"/>
      <c r="K7" s="66">
        <f t="shared" si="0"/>
        <v>0</v>
      </c>
      <c r="L7" s="66">
        <f t="shared" si="1"/>
        <v>0</v>
      </c>
      <c r="M7" s="66">
        <f t="shared" si="2"/>
        <v>0</v>
      </c>
      <c r="N7" s="66">
        <f t="shared" si="11"/>
        <v>0</v>
      </c>
      <c r="O7" s="66">
        <f t="shared" si="12"/>
        <v>0</v>
      </c>
      <c r="P7" s="66">
        <f t="shared" si="3"/>
        <v>0</v>
      </c>
      <c r="Q7" s="65">
        <f t="shared" si="4"/>
        <v>0</v>
      </c>
      <c r="R7" s="65">
        <f t="shared" si="5"/>
        <v>0</v>
      </c>
      <c r="S7" s="65">
        <f t="shared" si="6"/>
        <v>0</v>
      </c>
      <c r="T7" s="65">
        <f t="shared" si="7"/>
        <v>0</v>
      </c>
      <c r="U7" s="65">
        <f t="shared" si="8"/>
        <v>0</v>
      </c>
      <c r="V7" s="69" t="e">
        <f t="shared" ca="1" si="13"/>
        <v>#N/A</v>
      </c>
      <c r="W7" s="69" t="e">
        <f t="shared" ca="1" si="14"/>
        <v>#N/A</v>
      </c>
      <c r="X7" s="70" t="e">
        <f t="shared" ca="1" si="15"/>
        <v>#N/A</v>
      </c>
      <c r="Y7" s="70" t="e">
        <f t="shared" ca="1" si="9"/>
        <v>#N/A</v>
      </c>
      <c r="Z7" s="70" t="e">
        <f t="shared" ca="1" si="16"/>
        <v>#N/A</v>
      </c>
      <c r="AA7" s="70" t="e">
        <f t="shared" ca="1" si="17"/>
        <v>#N/A</v>
      </c>
      <c r="AB7" s="70" t="e">
        <f t="shared" ca="1" si="18"/>
        <v>#N/A</v>
      </c>
      <c r="AC7" s="70" t="e">
        <f t="shared" ca="1" si="19"/>
        <v>#N/A</v>
      </c>
      <c r="AD7" s="59" t="s">
        <v>25</v>
      </c>
      <c r="AE7" s="54" t="e">
        <f t="shared" si="20"/>
        <v>#N/A</v>
      </c>
    </row>
    <row r="8" spans="1:31" x14ac:dyDescent="0.2">
      <c r="A8" s="48" t="str">
        <f t="shared" si="10"/>
        <v>:</v>
      </c>
      <c r="B8" s="10"/>
      <c r="C8" s="55" t="e">
        <f>VLOOKUP(B8,'Acceptance Tests'!$A$6:$D$68,COLUMN('Acceptance Tests'!$D$6)-COLUMN('Acceptance Tests'!$A$6)+1,FALSE)</f>
        <v>#N/A</v>
      </c>
      <c r="D8" s="53"/>
      <c r="E8" s="10"/>
      <c r="F8" s="45"/>
      <c r="G8" s="63" t="e">
        <f>VLOOKUP($B8,'Acceptance Tests'!A$6:P$68,COLUMN('Acceptance Tests'!P$6)-COLUMN('Acceptance Tests'!A$6)+1,FALSE)</f>
        <v>#N/A</v>
      </c>
      <c r="H8" s="65"/>
      <c r="I8" s="65"/>
      <c r="J8" s="65"/>
      <c r="K8" s="66">
        <f t="shared" si="0"/>
        <v>0</v>
      </c>
      <c r="L8" s="66">
        <f t="shared" si="1"/>
        <v>0</v>
      </c>
      <c r="M8" s="66">
        <f t="shared" si="2"/>
        <v>0</v>
      </c>
      <c r="N8" s="66">
        <f t="shared" si="11"/>
        <v>0</v>
      </c>
      <c r="O8" s="66">
        <f t="shared" si="12"/>
        <v>0</v>
      </c>
      <c r="P8" s="66">
        <f t="shared" si="3"/>
        <v>0</v>
      </c>
      <c r="Q8" s="65">
        <f t="shared" si="4"/>
        <v>0</v>
      </c>
      <c r="R8" s="65">
        <f t="shared" si="5"/>
        <v>0</v>
      </c>
      <c r="S8" s="65">
        <f t="shared" si="6"/>
        <v>0</v>
      </c>
      <c r="T8" s="65">
        <f t="shared" si="7"/>
        <v>0</v>
      </c>
      <c r="U8" s="65">
        <f t="shared" si="8"/>
        <v>0</v>
      </c>
      <c r="V8" s="69" t="e">
        <f t="shared" ca="1" si="13"/>
        <v>#N/A</v>
      </c>
      <c r="W8" s="69" t="e">
        <f t="shared" ca="1" si="14"/>
        <v>#N/A</v>
      </c>
      <c r="X8" s="70" t="e">
        <f t="shared" ca="1" si="15"/>
        <v>#N/A</v>
      </c>
      <c r="Y8" s="70" t="e">
        <f t="shared" ca="1" si="9"/>
        <v>#N/A</v>
      </c>
      <c r="Z8" s="70" t="e">
        <f t="shared" ca="1" si="16"/>
        <v>#N/A</v>
      </c>
      <c r="AA8" s="70" t="e">
        <f t="shared" ca="1" si="17"/>
        <v>#N/A</v>
      </c>
      <c r="AB8" s="70" t="e">
        <f t="shared" ca="1" si="18"/>
        <v>#N/A</v>
      </c>
      <c r="AC8" s="70" t="e">
        <f t="shared" ca="1" si="19"/>
        <v>#N/A</v>
      </c>
      <c r="AD8" s="59" t="s">
        <v>25</v>
      </c>
      <c r="AE8" s="54" t="e">
        <f t="shared" si="20"/>
        <v>#N/A</v>
      </c>
    </row>
    <row r="9" spans="1:31" x14ac:dyDescent="0.2">
      <c r="A9" s="48" t="str">
        <f t="shared" si="10"/>
        <v>:</v>
      </c>
      <c r="B9" s="10"/>
      <c r="C9" s="55" t="e">
        <f>VLOOKUP(B9,'Acceptance Tests'!$A$6:$D$68,COLUMN('Acceptance Tests'!$D$6)-COLUMN('Acceptance Tests'!$A$6)+1,FALSE)</f>
        <v>#N/A</v>
      </c>
      <c r="D9" s="53"/>
      <c r="E9" s="10"/>
      <c r="F9" s="45"/>
      <c r="G9" s="63" t="e">
        <f>VLOOKUP($B9,'Acceptance Tests'!A$6:P$68,COLUMN('Acceptance Tests'!P$6)-COLUMN('Acceptance Tests'!A$6)+1,FALSE)</f>
        <v>#N/A</v>
      </c>
      <c r="H9" s="65"/>
      <c r="I9" s="65"/>
      <c r="J9" s="65"/>
      <c r="K9" s="66">
        <f t="shared" si="0"/>
        <v>0</v>
      </c>
      <c r="L9" s="66">
        <f t="shared" si="1"/>
        <v>0</v>
      </c>
      <c r="M9" s="66">
        <f>L9*L9</f>
        <v>0</v>
      </c>
      <c r="N9" s="66">
        <f>ROUND(K9-(ROUND(SQRT(M9),0)),0)</f>
        <v>0</v>
      </c>
      <c r="O9" s="66">
        <f>ROUND(K9+(ROUND(SQRT(M9),0)),0)</f>
        <v>0</v>
      </c>
      <c r="P9" s="66">
        <f t="shared" si="3"/>
        <v>0</v>
      </c>
      <c r="Q9" s="65">
        <f t="shared" si="4"/>
        <v>0</v>
      </c>
      <c r="R9" s="65">
        <f t="shared" si="5"/>
        <v>0</v>
      </c>
      <c r="S9" s="65">
        <f t="shared" si="6"/>
        <v>0</v>
      </c>
      <c r="T9" s="65">
        <f t="shared" si="7"/>
        <v>0</v>
      </c>
      <c r="U9" s="65">
        <f t="shared" si="8"/>
        <v>0</v>
      </c>
      <c r="V9" s="69" t="e">
        <f t="shared" ca="1" si="13"/>
        <v>#N/A</v>
      </c>
      <c r="W9" s="69" t="e">
        <f t="shared" ca="1" si="14"/>
        <v>#N/A</v>
      </c>
      <c r="X9" s="71" t="e">
        <f t="shared" ca="1" si="15"/>
        <v>#N/A</v>
      </c>
      <c r="Y9" s="71" t="e">
        <f t="shared" ca="1" si="9"/>
        <v>#N/A</v>
      </c>
      <c r="Z9" s="70" t="e">
        <f t="shared" ca="1" si="16"/>
        <v>#N/A</v>
      </c>
      <c r="AA9" s="70" t="e">
        <f t="shared" ca="1" si="17"/>
        <v>#N/A</v>
      </c>
      <c r="AB9" s="70" t="e">
        <f t="shared" ca="1" si="18"/>
        <v>#N/A</v>
      </c>
      <c r="AC9" s="70" t="e">
        <f t="shared" ca="1" si="19"/>
        <v>#N/A</v>
      </c>
      <c r="AD9" s="60" t="s">
        <v>25</v>
      </c>
      <c r="AE9" s="54" t="e">
        <f t="shared" si="20"/>
        <v>#N/A</v>
      </c>
    </row>
    <row r="10" spans="1:31" x14ac:dyDescent="0.2">
      <c r="A10" s="48" t="str">
        <f t="shared" si="10"/>
        <v>:</v>
      </c>
      <c r="B10" s="10"/>
      <c r="C10" s="55" t="e">
        <f>VLOOKUP(B10,'Acceptance Tests'!$A$6:$D$68,COLUMN('Acceptance Tests'!$D$6)-COLUMN('Acceptance Tests'!$A$6)+1,FALSE)</f>
        <v>#N/A</v>
      </c>
      <c r="D10" s="53"/>
      <c r="E10" s="10"/>
      <c r="F10" s="45"/>
      <c r="G10" s="63" t="e">
        <f>VLOOKUP($B10,'Acceptance Tests'!A$6:P$68,COLUMN('Acceptance Tests'!P$6)-COLUMN('Acceptance Tests'!A$6)+1,FALSE)</f>
        <v>#N/A</v>
      </c>
      <c r="H10" s="65"/>
      <c r="I10" s="65"/>
      <c r="J10" s="65"/>
      <c r="K10" s="66">
        <f t="shared" si="0"/>
        <v>0</v>
      </c>
      <c r="L10" s="66">
        <f t="shared" si="1"/>
        <v>0</v>
      </c>
      <c r="M10" s="66">
        <f>L10*L10</f>
        <v>0</v>
      </c>
      <c r="N10" s="66">
        <f>ROUND(K10-(ROUND(SQRT(M10),0)),0)</f>
        <v>0</v>
      </c>
      <c r="O10" s="66">
        <f>ROUND(K10+(ROUND(SQRT(M10),0)),0)</f>
        <v>0</v>
      </c>
      <c r="P10" s="66">
        <f t="shared" si="3"/>
        <v>0</v>
      </c>
      <c r="Q10" s="65">
        <f t="shared" si="4"/>
        <v>0</v>
      </c>
      <c r="R10" s="65">
        <f t="shared" si="5"/>
        <v>0</v>
      </c>
      <c r="S10" s="65">
        <f t="shared" si="6"/>
        <v>0</v>
      </c>
      <c r="T10" s="65">
        <f t="shared" si="7"/>
        <v>0</v>
      </c>
      <c r="U10" s="65">
        <f t="shared" si="8"/>
        <v>0</v>
      </c>
      <c r="V10" s="69" t="e">
        <f t="shared" ca="1" si="13"/>
        <v>#N/A</v>
      </c>
      <c r="W10" s="69" t="e">
        <f t="shared" ca="1" si="14"/>
        <v>#N/A</v>
      </c>
      <c r="X10" s="72" t="e">
        <f t="shared" ca="1" si="15"/>
        <v>#N/A</v>
      </c>
      <c r="Y10" s="72" t="e">
        <f t="shared" ca="1" si="9"/>
        <v>#N/A</v>
      </c>
      <c r="Z10" s="70" t="e">
        <f t="shared" ca="1" si="16"/>
        <v>#N/A</v>
      </c>
      <c r="AA10" s="70" t="e">
        <f t="shared" ca="1" si="17"/>
        <v>#N/A</v>
      </c>
      <c r="AB10" s="70" t="e">
        <f t="shared" ca="1" si="18"/>
        <v>#N/A</v>
      </c>
      <c r="AC10" s="70" t="e">
        <f t="shared" ca="1" si="19"/>
        <v>#N/A</v>
      </c>
      <c r="AD10" s="59" t="s">
        <v>25</v>
      </c>
      <c r="AE10" s="54" t="e">
        <f t="shared" si="20"/>
        <v>#N/A</v>
      </c>
    </row>
    <row r="11" spans="1:31" x14ac:dyDescent="0.2">
      <c r="A11" s="48" t="str">
        <f t="shared" si="10"/>
        <v>:</v>
      </c>
      <c r="B11" s="10"/>
      <c r="C11" s="55" t="e">
        <f>VLOOKUP(B11,'Acceptance Tests'!$A$6:$D$68,COLUMN('Acceptance Tests'!$D$6)-COLUMN('Acceptance Tests'!$A$6)+1,FALSE)</f>
        <v>#N/A</v>
      </c>
      <c r="D11" s="53"/>
      <c r="E11" s="10"/>
      <c r="F11" s="45"/>
      <c r="G11" s="63" t="e">
        <f>VLOOKUP($B11,'Acceptance Tests'!A$6:P$68,COLUMN('Acceptance Tests'!P$6)-COLUMN('Acceptance Tests'!A$6)+1,FALSE)</f>
        <v>#N/A</v>
      </c>
      <c r="H11" s="65"/>
      <c r="I11" s="65"/>
      <c r="J11" s="65"/>
      <c r="K11" s="66">
        <f t="shared" si="0"/>
        <v>0</v>
      </c>
      <c r="L11" s="66">
        <f t="shared" si="1"/>
        <v>0</v>
      </c>
      <c r="M11" s="66">
        <f t="shared" si="2"/>
        <v>0</v>
      </c>
      <c r="N11" s="66">
        <f t="shared" si="11"/>
        <v>0</v>
      </c>
      <c r="O11" s="66">
        <f t="shared" si="12"/>
        <v>0</v>
      </c>
      <c r="P11" s="66">
        <f t="shared" si="3"/>
        <v>0</v>
      </c>
      <c r="Q11" s="65">
        <f t="shared" si="4"/>
        <v>0</v>
      </c>
      <c r="R11" s="65">
        <f t="shared" si="5"/>
        <v>0</v>
      </c>
      <c r="S11" s="65">
        <f t="shared" si="6"/>
        <v>0</v>
      </c>
      <c r="T11" s="65">
        <f t="shared" si="7"/>
        <v>0</v>
      </c>
      <c r="U11" s="65">
        <f t="shared" si="8"/>
        <v>0</v>
      </c>
      <c r="V11" s="69" t="e">
        <f t="shared" ca="1" si="13"/>
        <v>#N/A</v>
      </c>
      <c r="W11" s="69" t="e">
        <f t="shared" ca="1" si="14"/>
        <v>#N/A</v>
      </c>
      <c r="X11" s="72" t="e">
        <f t="shared" ca="1" si="15"/>
        <v>#N/A</v>
      </c>
      <c r="Y11" s="72" t="e">
        <f t="shared" ca="1" si="9"/>
        <v>#N/A</v>
      </c>
      <c r="Z11" s="70" t="e">
        <f t="shared" ca="1" si="16"/>
        <v>#N/A</v>
      </c>
      <c r="AA11" s="70" t="e">
        <f t="shared" ca="1" si="17"/>
        <v>#N/A</v>
      </c>
      <c r="AB11" s="70" t="e">
        <f t="shared" ca="1" si="18"/>
        <v>#N/A</v>
      </c>
      <c r="AC11" s="70" t="e">
        <f t="shared" ca="1" si="19"/>
        <v>#N/A</v>
      </c>
      <c r="AD11" s="59" t="s">
        <v>25</v>
      </c>
      <c r="AE11" s="54" t="e">
        <f t="shared" si="20"/>
        <v>#N/A</v>
      </c>
    </row>
    <row r="12" spans="1:31" x14ac:dyDescent="0.2">
      <c r="A12" s="48" t="str">
        <f t="shared" si="10"/>
        <v>:</v>
      </c>
      <c r="B12" s="10"/>
      <c r="C12" s="55" t="e">
        <f>VLOOKUP(B12,'Acceptance Tests'!$A$6:$D$68,COLUMN('Acceptance Tests'!$D$6)-COLUMN('Acceptance Tests'!$A$6)+1,FALSE)</f>
        <v>#N/A</v>
      </c>
      <c r="D12" s="53"/>
      <c r="E12" s="10"/>
      <c r="F12" s="45"/>
      <c r="G12" s="63" t="e">
        <f>VLOOKUP($B12,'Acceptance Tests'!A$6:P$68,COLUMN('Acceptance Tests'!P$6)-COLUMN('Acceptance Tests'!A$6)+1,FALSE)</f>
        <v>#N/A</v>
      </c>
      <c r="H12" s="65"/>
      <c r="I12" s="65"/>
      <c r="J12" s="65"/>
      <c r="K12" s="66">
        <f t="shared" si="0"/>
        <v>0</v>
      </c>
      <c r="L12" s="66">
        <f t="shared" si="1"/>
        <v>0</v>
      </c>
      <c r="M12" s="66">
        <f t="shared" si="2"/>
        <v>0</v>
      </c>
      <c r="N12" s="66">
        <f t="shared" si="11"/>
        <v>0</v>
      </c>
      <c r="O12" s="66">
        <f t="shared" si="12"/>
        <v>0</v>
      </c>
      <c r="P12" s="66">
        <f t="shared" si="3"/>
        <v>0</v>
      </c>
      <c r="Q12" s="65">
        <f t="shared" si="4"/>
        <v>0</v>
      </c>
      <c r="R12" s="65">
        <f t="shared" si="5"/>
        <v>0</v>
      </c>
      <c r="S12" s="65">
        <f t="shared" si="6"/>
        <v>0</v>
      </c>
      <c r="T12" s="65">
        <f t="shared" si="7"/>
        <v>0</v>
      </c>
      <c r="U12" s="65">
        <f t="shared" si="8"/>
        <v>0</v>
      </c>
      <c r="V12" s="69" t="e">
        <f t="shared" ca="1" si="13"/>
        <v>#N/A</v>
      </c>
      <c r="W12" s="69" t="e">
        <f t="shared" ca="1" si="14"/>
        <v>#N/A</v>
      </c>
      <c r="X12" s="72" t="e">
        <f t="shared" ca="1" si="15"/>
        <v>#N/A</v>
      </c>
      <c r="Y12" s="72" t="e">
        <f t="shared" ca="1" si="9"/>
        <v>#N/A</v>
      </c>
      <c r="Z12" s="70" t="e">
        <f t="shared" ca="1" si="16"/>
        <v>#N/A</v>
      </c>
      <c r="AA12" s="70" t="e">
        <f t="shared" ca="1" si="17"/>
        <v>#N/A</v>
      </c>
      <c r="AB12" s="70" t="e">
        <f t="shared" ca="1" si="18"/>
        <v>#N/A</v>
      </c>
      <c r="AC12" s="70" t="e">
        <f t="shared" ca="1" si="19"/>
        <v>#N/A</v>
      </c>
      <c r="AD12" s="59" t="s">
        <v>25</v>
      </c>
      <c r="AE12" s="54" t="e">
        <f t="shared" si="20"/>
        <v>#N/A</v>
      </c>
    </row>
    <row r="13" spans="1:31" x14ac:dyDescent="0.2">
      <c r="A13" s="48" t="str">
        <f t="shared" si="10"/>
        <v>:</v>
      </c>
      <c r="B13" s="10"/>
      <c r="C13" s="55" t="e">
        <f>VLOOKUP(B13,'Acceptance Tests'!$A$6:$D$68,COLUMN('Acceptance Tests'!$D$6)-COLUMN('Acceptance Tests'!$A$6)+1,FALSE)</f>
        <v>#N/A</v>
      </c>
      <c r="D13" s="53"/>
      <c r="E13" s="10"/>
      <c r="F13" s="45"/>
      <c r="G13" s="63" t="e">
        <f>VLOOKUP($B13,'Acceptance Tests'!A$6:P$68,COLUMN('Acceptance Tests'!P$6)-COLUMN('Acceptance Tests'!A$6)+1,FALSE)</f>
        <v>#N/A</v>
      </c>
      <c r="H13" s="65"/>
      <c r="I13" s="65"/>
      <c r="J13" s="65"/>
      <c r="K13" s="66">
        <f t="shared" si="0"/>
        <v>0</v>
      </c>
      <c r="L13" s="66">
        <f t="shared" si="1"/>
        <v>0</v>
      </c>
      <c r="M13" s="66">
        <f t="shared" si="2"/>
        <v>0</v>
      </c>
      <c r="N13" s="66">
        <f t="shared" si="11"/>
        <v>0</v>
      </c>
      <c r="O13" s="66">
        <f t="shared" si="12"/>
        <v>0</v>
      </c>
      <c r="P13" s="66">
        <f t="shared" si="3"/>
        <v>0</v>
      </c>
      <c r="Q13" s="65">
        <f t="shared" si="4"/>
        <v>0</v>
      </c>
      <c r="R13" s="65">
        <f t="shared" si="5"/>
        <v>0</v>
      </c>
      <c r="S13" s="65">
        <f t="shared" si="6"/>
        <v>0</v>
      </c>
      <c r="T13" s="65">
        <f t="shared" si="7"/>
        <v>0</v>
      </c>
      <c r="U13" s="65">
        <f t="shared" si="8"/>
        <v>0</v>
      </c>
      <c r="V13" s="69" t="e">
        <f t="shared" ca="1" si="13"/>
        <v>#N/A</v>
      </c>
      <c r="W13" s="69" t="e">
        <f t="shared" ca="1" si="14"/>
        <v>#N/A</v>
      </c>
      <c r="X13" s="72" t="e">
        <f t="shared" ca="1" si="15"/>
        <v>#N/A</v>
      </c>
      <c r="Y13" s="72" t="e">
        <f t="shared" ca="1" si="9"/>
        <v>#N/A</v>
      </c>
      <c r="Z13" s="70" t="e">
        <f t="shared" ca="1" si="16"/>
        <v>#N/A</v>
      </c>
      <c r="AA13" s="70" t="e">
        <f t="shared" ca="1" si="17"/>
        <v>#N/A</v>
      </c>
      <c r="AB13" s="70" t="e">
        <f t="shared" ca="1" si="18"/>
        <v>#N/A</v>
      </c>
      <c r="AC13" s="70" t="e">
        <f t="shared" ca="1" si="19"/>
        <v>#N/A</v>
      </c>
      <c r="AD13" s="59" t="s">
        <v>25</v>
      </c>
      <c r="AE13" s="54" t="e">
        <f t="shared" si="20"/>
        <v>#N/A</v>
      </c>
    </row>
    <row r="14" spans="1:31" x14ac:dyDescent="0.2">
      <c r="A14" s="48" t="str">
        <f t="shared" si="10"/>
        <v>:</v>
      </c>
      <c r="B14" s="10"/>
      <c r="C14" s="55" t="e">
        <f>VLOOKUP(B14,'Acceptance Tests'!$A$6:$D$68,COLUMN('Acceptance Tests'!$D$6)-COLUMN('Acceptance Tests'!$A$6)+1,FALSE)</f>
        <v>#N/A</v>
      </c>
      <c r="D14" s="53"/>
      <c r="E14" s="10"/>
      <c r="F14" s="45"/>
      <c r="G14" s="63" t="e">
        <f>VLOOKUP($B14,'Acceptance Tests'!A$6:P$68,COLUMN('Acceptance Tests'!P$6)-COLUMN('Acceptance Tests'!A$6)+1,FALSE)</f>
        <v>#N/A</v>
      </c>
      <c r="H14" s="65"/>
      <c r="I14" s="65"/>
      <c r="J14" s="65"/>
      <c r="K14" s="66">
        <f t="shared" si="0"/>
        <v>0</v>
      </c>
      <c r="L14" s="66">
        <f t="shared" si="1"/>
        <v>0</v>
      </c>
      <c r="M14" s="66">
        <f t="shared" si="2"/>
        <v>0</v>
      </c>
      <c r="N14" s="66">
        <f t="shared" si="11"/>
        <v>0</v>
      </c>
      <c r="O14" s="66">
        <f t="shared" si="12"/>
        <v>0</v>
      </c>
      <c r="P14" s="66">
        <f t="shared" si="3"/>
        <v>0</v>
      </c>
      <c r="Q14" s="65">
        <f t="shared" si="4"/>
        <v>0</v>
      </c>
      <c r="R14" s="65">
        <f t="shared" si="5"/>
        <v>0</v>
      </c>
      <c r="S14" s="65">
        <f t="shared" si="6"/>
        <v>0</v>
      </c>
      <c r="T14" s="65">
        <f t="shared" si="7"/>
        <v>0</v>
      </c>
      <c r="U14" s="65">
        <f t="shared" si="8"/>
        <v>0</v>
      </c>
      <c r="V14" s="69" t="e">
        <f t="shared" ca="1" si="13"/>
        <v>#N/A</v>
      </c>
      <c r="W14" s="69" t="e">
        <f t="shared" ca="1" si="14"/>
        <v>#N/A</v>
      </c>
      <c r="X14" s="72" t="e">
        <f t="shared" ca="1" si="15"/>
        <v>#N/A</v>
      </c>
      <c r="Y14" s="72" t="e">
        <f t="shared" ca="1" si="9"/>
        <v>#N/A</v>
      </c>
      <c r="Z14" s="70" t="e">
        <f t="shared" ca="1" si="16"/>
        <v>#N/A</v>
      </c>
      <c r="AA14" s="70" t="e">
        <f t="shared" ca="1" si="17"/>
        <v>#N/A</v>
      </c>
      <c r="AB14" s="70" t="e">
        <f t="shared" ca="1" si="18"/>
        <v>#N/A</v>
      </c>
      <c r="AC14" s="70" t="e">
        <f t="shared" ca="1" si="19"/>
        <v>#N/A</v>
      </c>
      <c r="AD14" s="59" t="s">
        <v>25</v>
      </c>
      <c r="AE14" s="54" t="e">
        <f t="shared" si="20"/>
        <v>#N/A</v>
      </c>
    </row>
    <row r="15" spans="1:31" x14ac:dyDescent="0.2">
      <c r="A15" s="48" t="str">
        <f t="shared" si="10"/>
        <v>:</v>
      </c>
      <c r="B15" s="10"/>
      <c r="C15" s="55" t="e">
        <f>VLOOKUP(B15,'Acceptance Tests'!$A$6:$D$68,COLUMN('Acceptance Tests'!$D$6)-COLUMN('Acceptance Tests'!$A$6)+1,FALSE)</f>
        <v>#N/A</v>
      </c>
      <c r="D15" s="53"/>
      <c r="E15" s="10"/>
      <c r="F15" s="45"/>
      <c r="G15" s="63" t="e">
        <f>VLOOKUP($B15,'Acceptance Tests'!A$6:P$68,COLUMN('Acceptance Tests'!P$6)-COLUMN('Acceptance Tests'!A$6)+1,FALSE)</f>
        <v>#N/A</v>
      </c>
      <c r="H15" s="65"/>
      <c r="I15" s="65"/>
      <c r="J15" s="65"/>
      <c r="K15" s="66">
        <f t="shared" si="0"/>
        <v>0</v>
      </c>
      <c r="L15" s="66">
        <f t="shared" si="1"/>
        <v>0</v>
      </c>
      <c r="M15" s="66">
        <f t="shared" si="2"/>
        <v>0</v>
      </c>
      <c r="N15" s="66">
        <f t="shared" si="11"/>
        <v>0</v>
      </c>
      <c r="O15" s="66">
        <f t="shared" si="12"/>
        <v>0</v>
      </c>
      <c r="P15" s="66">
        <f t="shared" si="3"/>
        <v>0</v>
      </c>
      <c r="Q15" s="65">
        <f t="shared" si="4"/>
        <v>0</v>
      </c>
      <c r="R15" s="65">
        <f t="shared" si="5"/>
        <v>0</v>
      </c>
      <c r="S15" s="65">
        <f t="shared" si="6"/>
        <v>0</v>
      </c>
      <c r="T15" s="65">
        <f t="shared" si="7"/>
        <v>0</v>
      </c>
      <c r="U15" s="65">
        <f t="shared" si="8"/>
        <v>0</v>
      </c>
      <c r="V15" s="69" t="e">
        <f t="shared" ca="1" si="13"/>
        <v>#N/A</v>
      </c>
      <c r="W15" s="69" t="e">
        <f t="shared" ca="1" si="14"/>
        <v>#N/A</v>
      </c>
      <c r="X15" s="72" t="e">
        <f t="shared" ca="1" si="15"/>
        <v>#N/A</v>
      </c>
      <c r="Y15" s="72" t="e">
        <f t="shared" ca="1" si="9"/>
        <v>#N/A</v>
      </c>
      <c r="Z15" s="70" t="e">
        <f t="shared" ca="1" si="16"/>
        <v>#N/A</v>
      </c>
      <c r="AA15" s="70" t="e">
        <f t="shared" ca="1" si="17"/>
        <v>#N/A</v>
      </c>
      <c r="AB15" s="70" t="e">
        <f t="shared" ca="1" si="18"/>
        <v>#N/A</v>
      </c>
      <c r="AC15" s="70" t="e">
        <f t="shared" ca="1" si="19"/>
        <v>#N/A</v>
      </c>
      <c r="AD15" s="59" t="s">
        <v>25</v>
      </c>
      <c r="AE15" s="54" t="e">
        <f t="shared" si="20"/>
        <v>#N/A</v>
      </c>
    </row>
    <row r="16" spans="1:31" x14ac:dyDescent="0.2">
      <c r="A16" s="48" t="str">
        <f t="shared" si="10"/>
        <v>:</v>
      </c>
      <c r="B16" s="10"/>
      <c r="C16" s="55" t="e">
        <f>VLOOKUP(B16,'Acceptance Tests'!$A$6:$D$68,COLUMN('Acceptance Tests'!$D$6)-COLUMN('Acceptance Tests'!$A$6)+1,FALSE)</f>
        <v>#N/A</v>
      </c>
      <c r="D16" s="53"/>
      <c r="E16" s="10"/>
      <c r="F16" s="45"/>
      <c r="G16" s="63" t="e">
        <f>VLOOKUP($B16,'Acceptance Tests'!A$6:P$68,COLUMN('Acceptance Tests'!P$6)-COLUMN('Acceptance Tests'!A$6)+1,FALSE)</f>
        <v>#N/A</v>
      </c>
      <c r="H16" s="65"/>
      <c r="I16" s="65"/>
      <c r="J16" s="65"/>
      <c r="K16" s="66">
        <f t="shared" si="0"/>
        <v>0</v>
      </c>
      <c r="L16" s="66">
        <f t="shared" si="1"/>
        <v>0</v>
      </c>
      <c r="M16" s="66">
        <f t="shared" si="2"/>
        <v>0</v>
      </c>
      <c r="N16" s="66">
        <f t="shared" si="11"/>
        <v>0</v>
      </c>
      <c r="O16" s="66">
        <f t="shared" si="12"/>
        <v>0</v>
      </c>
      <c r="P16" s="66">
        <f t="shared" si="3"/>
        <v>0</v>
      </c>
      <c r="Q16" s="65">
        <f t="shared" si="4"/>
        <v>0</v>
      </c>
      <c r="R16" s="65">
        <f t="shared" si="5"/>
        <v>0</v>
      </c>
      <c r="S16" s="65">
        <f t="shared" si="6"/>
        <v>0</v>
      </c>
      <c r="T16" s="65">
        <f t="shared" si="7"/>
        <v>0</v>
      </c>
      <c r="U16" s="65">
        <f t="shared" si="8"/>
        <v>0</v>
      </c>
      <c r="V16" s="69" t="e">
        <f t="shared" ca="1" si="13"/>
        <v>#N/A</v>
      </c>
      <c r="W16" s="69" t="e">
        <f t="shared" ca="1" si="14"/>
        <v>#N/A</v>
      </c>
      <c r="X16" s="72" t="e">
        <f t="shared" ca="1" si="15"/>
        <v>#N/A</v>
      </c>
      <c r="Y16" s="72" t="e">
        <f t="shared" ca="1" si="9"/>
        <v>#N/A</v>
      </c>
      <c r="Z16" s="70" t="e">
        <f t="shared" ca="1" si="16"/>
        <v>#N/A</v>
      </c>
      <c r="AA16" s="70" t="e">
        <f t="shared" ca="1" si="17"/>
        <v>#N/A</v>
      </c>
      <c r="AB16" s="70" t="e">
        <f t="shared" ca="1" si="18"/>
        <v>#N/A</v>
      </c>
      <c r="AC16" s="70" t="e">
        <f t="shared" ca="1" si="19"/>
        <v>#N/A</v>
      </c>
      <c r="AD16" s="59" t="s">
        <v>25</v>
      </c>
      <c r="AE16" s="54" t="e">
        <f t="shared" si="20"/>
        <v>#N/A</v>
      </c>
    </row>
    <row r="17" spans="1:31" x14ac:dyDescent="0.2">
      <c r="A17" s="48" t="str">
        <f t="shared" si="10"/>
        <v>:</v>
      </c>
      <c r="B17" s="10"/>
      <c r="C17" s="55" t="e">
        <f>VLOOKUP(B17,'Acceptance Tests'!$A$6:$D$68,COLUMN('Acceptance Tests'!$D$6)-COLUMN('Acceptance Tests'!$A$6)+1,FALSE)</f>
        <v>#N/A</v>
      </c>
      <c r="D17" s="53"/>
      <c r="E17" s="10"/>
      <c r="F17" s="45"/>
      <c r="G17" s="63" t="e">
        <f>VLOOKUP($B17,'Acceptance Tests'!A$6:P$68,COLUMN('Acceptance Tests'!P$6)-COLUMN('Acceptance Tests'!A$6)+1,FALSE)</f>
        <v>#N/A</v>
      </c>
      <c r="H17" s="65"/>
      <c r="I17" s="65"/>
      <c r="J17" s="65"/>
      <c r="K17" s="66">
        <f t="shared" si="0"/>
        <v>0</v>
      </c>
      <c r="L17" s="66">
        <f t="shared" si="1"/>
        <v>0</v>
      </c>
      <c r="M17" s="66">
        <f t="shared" si="2"/>
        <v>0</v>
      </c>
      <c r="N17" s="66">
        <f t="shared" si="11"/>
        <v>0</v>
      </c>
      <c r="O17" s="66">
        <f t="shared" si="12"/>
        <v>0</v>
      </c>
      <c r="P17" s="66">
        <f t="shared" si="3"/>
        <v>0</v>
      </c>
      <c r="Q17" s="65">
        <f t="shared" si="4"/>
        <v>0</v>
      </c>
      <c r="R17" s="65">
        <f t="shared" si="5"/>
        <v>0</v>
      </c>
      <c r="S17" s="65">
        <f t="shared" si="6"/>
        <v>0</v>
      </c>
      <c r="T17" s="65">
        <f t="shared" si="7"/>
        <v>0</v>
      </c>
      <c r="U17" s="65">
        <f t="shared" si="8"/>
        <v>0</v>
      </c>
      <c r="V17" s="69" t="e">
        <f t="shared" ca="1" si="13"/>
        <v>#N/A</v>
      </c>
      <c r="W17" s="69" t="e">
        <f t="shared" ca="1" si="14"/>
        <v>#N/A</v>
      </c>
      <c r="X17" s="72" t="e">
        <f t="shared" ca="1" si="15"/>
        <v>#N/A</v>
      </c>
      <c r="Y17" s="72" t="e">
        <f t="shared" ca="1" si="9"/>
        <v>#N/A</v>
      </c>
      <c r="Z17" s="70" t="e">
        <f t="shared" ca="1" si="16"/>
        <v>#N/A</v>
      </c>
      <c r="AA17" s="70" t="e">
        <f t="shared" ca="1" si="17"/>
        <v>#N/A</v>
      </c>
      <c r="AB17" s="70" t="e">
        <f t="shared" ca="1" si="18"/>
        <v>#N/A</v>
      </c>
      <c r="AC17" s="70" t="e">
        <f t="shared" ca="1" si="19"/>
        <v>#N/A</v>
      </c>
      <c r="AD17" s="59" t="s">
        <v>25</v>
      </c>
      <c r="AE17" s="54" t="e">
        <f t="shared" si="20"/>
        <v>#N/A</v>
      </c>
    </row>
    <row r="18" spans="1:31" x14ac:dyDescent="0.2">
      <c r="A18" s="48" t="str">
        <f t="shared" si="10"/>
        <v>:</v>
      </c>
      <c r="B18" s="10"/>
      <c r="C18" s="55" t="e">
        <f>VLOOKUP(B18,'Acceptance Tests'!$A$6:$D$68,COLUMN('Acceptance Tests'!$D$6)-COLUMN('Acceptance Tests'!$A$6)+1,FALSE)</f>
        <v>#N/A</v>
      </c>
      <c r="D18" s="53"/>
      <c r="E18" s="10"/>
      <c r="F18" s="45"/>
      <c r="G18" s="63" t="e">
        <f>VLOOKUP($B18,'Acceptance Tests'!A$6:P$68,COLUMN('Acceptance Tests'!P$6)-COLUMN('Acceptance Tests'!A$6)+1,FALSE)</f>
        <v>#N/A</v>
      </c>
      <c r="H18" s="65"/>
      <c r="I18" s="65"/>
      <c r="J18" s="65"/>
      <c r="K18" s="66">
        <f t="shared" si="0"/>
        <v>0</v>
      </c>
      <c r="L18" s="66">
        <f t="shared" si="1"/>
        <v>0</v>
      </c>
      <c r="M18" s="66">
        <f t="shared" si="2"/>
        <v>0</v>
      </c>
      <c r="N18" s="66">
        <f t="shared" si="11"/>
        <v>0</v>
      </c>
      <c r="O18" s="66">
        <f t="shared" si="12"/>
        <v>0</v>
      </c>
      <c r="P18" s="66">
        <f t="shared" si="3"/>
        <v>0</v>
      </c>
      <c r="Q18" s="65">
        <f t="shared" si="4"/>
        <v>0</v>
      </c>
      <c r="R18" s="65">
        <f t="shared" si="5"/>
        <v>0</v>
      </c>
      <c r="S18" s="65">
        <f t="shared" si="6"/>
        <v>0</v>
      </c>
      <c r="T18" s="65">
        <f t="shared" si="7"/>
        <v>0</v>
      </c>
      <c r="U18" s="65">
        <f t="shared" si="8"/>
        <v>0</v>
      </c>
      <c r="V18" s="69" t="e">
        <f t="shared" ca="1" si="13"/>
        <v>#N/A</v>
      </c>
      <c r="W18" s="69" t="e">
        <f t="shared" ca="1" si="14"/>
        <v>#N/A</v>
      </c>
      <c r="X18" s="72" t="e">
        <f t="shared" ca="1" si="15"/>
        <v>#N/A</v>
      </c>
      <c r="Y18" s="72" t="e">
        <f t="shared" ca="1" si="9"/>
        <v>#N/A</v>
      </c>
      <c r="Z18" s="70" t="e">
        <f t="shared" ca="1" si="16"/>
        <v>#N/A</v>
      </c>
      <c r="AA18" s="70" t="e">
        <f t="shared" ca="1" si="17"/>
        <v>#N/A</v>
      </c>
      <c r="AB18" s="70" t="e">
        <f t="shared" ca="1" si="18"/>
        <v>#N/A</v>
      </c>
      <c r="AC18" s="70" t="e">
        <f t="shared" ca="1" si="19"/>
        <v>#N/A</v>
      </c>
      <c r="AD18" s="59" t="s">
        <v>25</v>
      </c>
      <c r="AE18" s="54" t="e">
        <f t="shared" si="20"/>
        <v>#N/A</v>
      </c>
    </row>
    <row r="19" spans="1:31" x14ac:dyDescent="0.2">
      <c r="A19" s="48" t="str">
        <f t="shared" si="10"/>
        <v>:</v>
      </c>
      <c r="B19" s="10"/>
      <c r="C19" s="55" t="e">
        <f>VLOOKUP(B19,'Acceptance Tests'!$A$6:$D$68,COLUMN('Acceptance Tests'!$D$6)-COLUMN('Acceptance Tests'!$A$6)+1,FALSE)</f>
        <v>#N/A</v>
      </c>
      <c r="D19" s="53"/>
      <c r="E19" s="10"/>
      <c r="F19" s="45"/>
      <c r="G19" s="63" t="e">
        <f>VLOOKUP($B19,'Acceptance Tests'!A$6:P$68,COLUMN('Acceptance Tests'!P$6)-COLUMN('Acceptance Tests'!A$6)+1,FALSE)</f>
        <v>#N/A</v>
      </c>
      <c r="H19" s="65"/>
      <c r="I19" s="65"/>
      <c r="J19" s="65"/>
      <c r="K19" s="66">
        <f t="shared" si="0"/>
        <v>0</v>
      </c>
      <c r="L19" s="66">
        <f t="shared" si="1"/>
        <v>0</v>
      </c>
      <c r="M19" s="66">
        <f t="shared" si="2"/>
        <v>0</v>
      </c>
      <c r="N19" s="66">
        <f t="shared" si="11"/>
        <v>0</v>
      </c>
      <c r="O19" s="66">
        <f t="shared" si="12"/>
        <v>0</v>
      </c>
      <c r="P19" s="66">
        <f t="shared" si="3"/>
        <v>0</v>
      </c>
      <c r="Q19" s="65">
        <f t="shared" si="4"/>
        <v>0</v>
      </c>
      <c r="R19" s="65">
        <f t="shared" si="5"/>
        <v>0</v>
      </c>
      <c r="S19" s="65">
        <f t="shared" si="6"/>
        <v>0</v>
      </c>
      <c r="T19" s="65">
        <f t="shared" si="7"/>
        <v>0</v>
      </c>
      <c r="U19" s="65">
        <f t="shared" si="8"/>
        <v>0</v>
      </c>
      <c r="V19" s="69" t="e">
        <f t="shared" ca="1" si="13"/>
        <v>#N/A</v>
      </c>
      <c r="W19" s="69" t="e">
        <f t="shared" ca="1" si="14"/>
        <v>#N/A</v>
      </c>
      <c r="X19" s="72" t="e">
        <f t="shared" ca="1" si="15"/>
        <v>#N/A</v>
      </c>
      <c r="Y19" s="72" t="e">
        <f t="shared" ca="1" si="9"/>
        <v>#N/A</v>
      </c>
      <c r="Z19" s="70" t="e">
        <f t="shared" ca="1" si="16"/>
        <v>#N/A</v>
      </c>
      <c r="AA19" s="70" t="e">
        <f t="shared" ca="1" si="17"/>
        <v>#N/A</v>
      </c>
      <c r="AB19" s="70" t="e">
        <f t="shared" ca="1" si="18"/>
        <v>#N/A</v>
      </c>
      <c r="AC19" s="70" t="e">
        <f t="shared" ca="1" si="19"/>
        <v>#N/A</v>
      </c>
      <c r="AD19" s="59" t="s">
        <v>25</v>
      </c>
      <c r="AE19" s="54" t="e">
        <f t="shared" si="20"/>
        <v>#N/A</v>
      </c>
    </row>
    <row r="20" spans="1:31" x14ac:dyDescent="0.2">
      <c r="A20" s="48" t="str">
        <f t="shared" si="10"/>
        <v>:</v>
      </c>
      <c r="B20" s="10"/>
      <c r="C20" s="55" t="e">
        <f>VLOOKUP(B20,'Acceptance Tests'!$A$6:$D$68,COLUMN('Acceptance Tests'!$D$6)-COLUMN('Acceptance Tests'!$A$6)+1,FALSE)</f>
        <v>#N/A</v>
      </c>
      <c r="D20" s="53"/>
      <c r="E20" s="10"/>
      <c r="F20" s="45"/>
      <c r="G20" s="63" t="e">
        <f>VLOOKUP($B20,'Acceptance Tests'!A$6:P$68,COLUMN('Acceptance Tests'!P$6)-COLUMN('Acceptance Tests'!A$6)+1,FALSE)</f>
        <v>#N/A</v>
      </c>
      <c r="H20" s="65"/>
      <c r="I20" s="65"/>
      <c r="J20" s="65"/>
      <c r="K20" s="66">
        <f t="shared" si="0"/>
        <v>0</v>
      </c>
      <c r="L20" s="66">
        <f t="shared" si="1"/>
        <v>0</v>
      </c>
      <c r="M20" s="66">
        <f t="shared" si="2"/>
        <v>0</v>
      </c>
      <c r="N20" s="66">
        <f t="shared" si="11"/>
        <v>0</v>
      </c>
      <c r="O20" s="66">
        <f t="shared" si="12"/>
        <v>0</v>
      </c>
      <c r="P20" s="66">
        <f t="shared" si="3"/>
        <v>0</v>
      </c>
      <c r="Q20" s="65">
        <f t="shared" ref="Q20:Q30" si="21">P20</f>
        <v>0</v>
      </c>
      <c r="R20" s="65">
        <f t="shared" si="5"/>
        <v>0</v>
      </c>
      <c r="S20" s="65">
        <f t="shared" si="6"/>
        <v>0</v>
      </c>
      <c r="T20" s="65">
        <f t="shared" si="7"/>
        <v>0</v>
      </c>
      <c r="U20" s="65">
        <f t="shared" si="8"/>
        <v>0</v>
      </c>
      <c r="V20" s="69" t="e">
        <f t="shared" ca="1" si="13"/>
        <v>#N/A</v>
      </c>
      <c r="W20" s="69" t="e">
        <f t="shared" ca="1" si="14"/>
        <v>#N/A</v>
      </c>
      <c r="X20" s="72" t="e">
        <f t="shared" ca="1" si="15"/>
        <v>#N/A</v>
      </c>
      <c r="Y20" s="72" t="e">
        <f t="shared" ca="1" si="9"/>
        <v>#N/A</v>
      </c>
      <c r="Z20" s="70" t="e">
        <f t="shared" ca="1" si="16"/>
        <v>#N/A</v>
      </c>
      <c r="AA20" s="70" t="e">
        <f t="shared" ca="1" si="17"/>
        <v>#N/A</v>
      </c>
      <c r="AB20" s="70" t="e">
        <f t="shared" ca="1" si="18"/>
        <v>#N/A</v>
      </c>
      <c r="AC20" s="70" t="e">
        <f t="shared" ca="1" si="19"/>
        <v>#N/A</v>
      </c>
      <c r="AD20" s="59" t="s">
        <v>25</v>
      </c>
      <c r="AE20" s="54" t="e">
        <f t="shared" si="20"/>
        <v>#N/A</v>
      </c>
    </row>
    <row r="21" spans="1:31" x14ac:dyDescent="0.2">
      <c r="A21" s="48" t="str">
        <f t="shared" si="10"/>
        <v>:</v>
      </c>
      <c r="B21" s="10"/>
      <c r="C21" s="55" t="e">
        <f>VLOOKUP(B21,'Acceptance Tests'!$A$6:$D$68,COLUMN('Acceptance Tests'!$D$6)-COLUMN('Acceptance Tests'!$A$6)+1,FALSE)</f>
        <v>#N/A</v>
      </c>
      <c r="D21" s="53"/>
      <c r="E21" s="10"/>
      <c r="F21" s="45"/>
      <c r="G21" s="63" t="e">
        <f>VLOOKUP($B21,'Acceptance Tests'!A$6:P$68,COLUMN('Acceptance Tests'!P$6)-COLUMN('Acceptance Tests'!A$6)+1,FALSE)</f>
        <v>#N/A</v>
      </c>
      <c r="H21" s="65"/>
      <c r="I21" s="65"/>
      <c r="J21" s="65"/>
      <c r="K21" s="66">
        <f t="shared" si="0"/>
        <v>0</v>
      </c>
      <c r="L21" s="66">
        <f t="shared" si="1"/>
        <v>0</v>
      </c>
      <c r="M21" s="66">
        <f t="shared" si="2"/>
        <v>0</v>
      </c>
      <c r="N21" s="66">
        <f t="shared" si="11"/>
        <v>0</v>
      </c>
      <c r="O21" s="66">
        <f t="shared" si="12"/>
        <v>0</v>
      </c>
      <c r="P21" s="66">
        <f t="shared" si="3"/>
        <v>0</v>
      </c>
      <c r="Q21" s="65">
        <f t="shared" si="21"/>
        <v>0</v>
      </c>
      <c r="R21" s="65">
        <f t="shared" si="5"/>
        <v>0</v>
      </c>
      <c r="S21" s="65">
        <f t="shared" si="6"/>
        <v>0</v>
      </c>
      <c r="T21" s="65">
        <f t="shared" si="7"/>
        <v>0</v>
      </c>
      <c r="U21" s="65">
        <f t="shared" si="8"/>
        <v>0</v>
      </c>
      <c r="V21" s="69" t="e">
        <f t="shared" ca="1" si="13"/>
        <v>#N/A</v>
      </c>
      <c r="W21" s="69" t="e">
        <f t="shared" ca="1" si="14"/>
        <v>#N/A</v>
      </c>
      <c r="X21" s="72" t="e">
        <f t="shared" ca="1" si="15"/>
        <v>#N/A</v>
      </c>
      <c r="Y21" s="72" t="e">
        <f t="shared" ca="1" si="9"/>
        <v>#N/A</v>
      </c>
      <c r="Z21" s="70" t="e">
        <f t="shared" ca="1" si="16"/>
        <v>#N/A</v>
      </c>
      <c r="AA21" s="70" t="e">
        <f t="shared" ca="1" si="17"/>
        <v>#N/A</v>
      </c>
      <c r="AB21" s="70" t="e">
        <f t="shared" ca="1" si="18"/>
        <v>#N/A</v>
      </c>
      <c r="AC21" s="70" t="e">
        <f t="shared" ca="1" si="19"/>
        <v>#N/A</v>
      </c>
      <c r="AD21" s="59" t="s">
        <v>25</v>
      </c>
      <c r="AE21" s="54" t="e">
        <f t="shared" si="20"/>
        <v>#N/A</v>
      </c>
    </row>
    <row r="22" spans="1:31" x14ac:dyDescent="0.2">
      <c r="A22" s="48" t="str">
        <f t="shared" si="10"/>
        <v>:</v>
      </c>
      <c r="B22" s="10"/>
      <c r="C22" s="55" t="e">
        <f>VLOOKUP(B22,'Acceptance Tests'!$A$6:$D$68,COLUMN('Acceptance Tests'!$D$6)-COLUMN('Acceptance Tests'!$A$6)+1,FALSE)</f>
        <v>#N/A</v>
      </c>
      <c r="D22" s="53"/>
      <c r="E22" s="10"/>
      <c r="F22" s="45"/>
      <c r="G22" s="63" t="e">
        <f>VLOOKUP($B22,'Acceptance Tests'!A$6:P$68,COLUMN('Acceptance Tests'!P$6)-COLUMN('Acceptance Tests'!A$6)+1,FALSE)</f>
        <v>#N/A</v>
      </c>
      <c r="H22" s="65"/>
      <c r="I22" s="65"/>
      <c r="J22" s="65"/>
      <c r="K22" s="66">
        <f t="shared" si="0"/>
        <v>0</v>
      </c>
      <c r="L22" s="66">
        <f t="shared" si="1"/>
        <v>0</v>
      </c>
      <c r="M22" s="66">
        <f t="shared" si="2"/>
        <v>0</v>
      </c>
      <c r="N22" s="66">
        <f t="shared" si="11"/>
        <v>0</v>
      </c>
      <c r="O22" s="66">
        <f t="shared" si="12"/>
        <v>0</v>
      </c>
      <c r="P22" s="66">
        <f t="shared" si="3"/>
        <v>0</v>
      </c>
      <c r="Q22" s="65">
        <f t="shared" si="21"/>
        <v>0</v>
      </c>
      <c r="R22" s="65">
        <f t="shared" si="5"/>
        <v>0</v>
      </c>
      <c r="S22" s="65">
        <f t="shared" si="6"/>
        <v>0</v>
      </c>
      <c r="T22" s="65">
        <f t="shared" si="7"/>
        <v>0</v>
      </c>
      <c r="U22" s="65">
        <f t="shared" si="8"/>
        <v>0</v>
      </c>
      <c r="V22" s="69" t="e">
        <f t="shared" ca="1" si="13"/>
        <v>#N/A</v>
      </c>
      <c r="W22" s="69" t="e">
        <f t="shared" ca="1" si="14"/>
        <v>#N/A</v>
      </c>
      <c r="X22" s="72" t="e">
        <f t="shared" ca="1" si="15"/>
        <v>#N/A</v>
      </c>
      <c r="Y22" s="72" t="e">
        <f t="shared" ca="1" si="9"/>
        <v>#N/A</v>
      </c>
      <c r="Z22" s="70" t="e">
        <f t="shared" ca="1" si="16"/>
        <v>#N/A</v>
      </c>
      <c r="AA22" s="70" t="e">
        <f t="shared" ca="1" si="17"/>
        <v>#N/A</v>
      </c>
      <c r="AB22" s="70" t="e">
        <f t="shared" ca="1" si="18"/>
        <v>#N/A</v>
      </c>
      <c r="AC22" s="70" t="e">
        <f t="shared" ca="1" si="19"/>
        <v>#N/A</v>
      </c>
      <c r="AD22" s="59" t="s">
        <v>25</v>
      </c>
      <c r="AE22" s="54" t="e">
        <f t="shared" si="20"/>
        <v>#N/A</v>
      </c>
    </row>
    <row r="23" spans="1:31" x14ac:dyDescent="0.2">
      <c r="A23" s="48" t="str">
        <f t="shared" si="10"/>
        <v>:</v>
      </c>
      <c r="B23" s="10"/>
      <c r="C23" s="55" t="e">
        <f>VLOOKUP(B23,'Acceptance Tests'!$A$6:$D$68,COLUMN('Acceptance Tests'!$D$6)-COLUMN('Acceptance Tests'!$A$6)+1,FALSE)</f>
        <v>#N/A</v>
      </c>
      <c r="D23" s="53"/>
      <c r="E23" s="10"/>
      <c r="F23" s="45"/>
      <c r="G23" s="63" t="e">
        <f>VLOOKUP($B23,'Acceptance Tests'!A$6:P$68,COLUMN('Acceptance Tests'!P$6)-COLUMN('Acceptance Tests'!A$6)+1,FALSE)</f>
        <v>#N/A</v>
      </c>
      <c r="H23" s="65"/>
      <c r="I23" s="65"/>
      <c r="J23" s="65"/>
      <c r="K23" s="66">
        <f t="shared" si="0"/>
        <v>0</v>
      </c>
      <c r="L23" s="66">
        <f t="shared" si="1"/>
        <v>0</v>
      </c>
      <c r="M23" s="66">
        <f t="shared" si="2"/>
        <v>0</v>
      </c>
      <c r="N23" s="66">
        <f t="shared" si="11"/>
        <v>0</v>
      </c>
      <c r="O23" s="66">
        <f t="shared" si="12"/>
        <v>0</v>
      </c>
      <c r="P23" s="66">
        <f t="shared" si="3"/>
        <v>0</v>
      </c>
      <c r="Q23" s="65">
        <f t="shared" si="21"/>
        <v>0</v>
      </c>
      <c r="R23" s="65">
        <f t="shared" si="5"/>
        <v>0</v>
      </c>
      <c r="S23" s="65">
        <f t="shared" si="6"/>
        <v>0</v>
      </c>
      <c r="T23" s="65">
        <f t="shared" si="7"/>
        <v>0</v>
      </c>
      <c r="U23" s="65">
        <f t="shared" si="8"/>
        <v>0</v>
      </c>
      <c r="V23" s="69" t="e">
        <f t="shared" ca="1" si="13"/>
        <v>#N/A</v>
      </c>
      <c r="W23" s="69" t="e">
        <f t="shared" ca="1" si="14"/>
        <v>#N/A</v>
      </c>
      <c r="X23" s="72" t="e">
        <f t="shared" ca="1" si="15"/>
        <v>#N/A</v>
      </c>
      <c r="Y23" s="72" t="e">
        <f t="shared" ca="1" si="9"/>
        <v>#N/A</v>
      </c>
      <c r="Z23" s="70" t="e">
        <f t="shared" ca="1" si="16"/>
        <v>#N/A</v>
      </c>
      <c r="AA23" s="70" t="e">
        <f t="shared" ca="1" si="17"/>
        <v>#N/A</v>
      </c>
      <c r="AB23" s="70" t="e">
        <f t="shared" ca="1" si="18"/>
        <v>#N/A</v>
      </c>
      <c r="AC23" s="70" t="e">
        <f t="shared" ca="1" si="19"/>
        <v>#N/A</v>
      </c>
      <c r="AD23" s="59" t="s">
        <v>25</v>
      </c>
      <c r="AE23" s="54" t="e">
        <f t="shared" si="20"/>
        <v>#N/A</v>
      </c>
    </row>
    <row r="24" spans="1:31" x14ac:dyDescent="0.2">
      <c r="A24" s="48" t="str">
        <f t="shared" si="10"/>
        <v>:</v>
      </c>
      <c r="B24" s="10"/>
      <c r="C24" s="55" t="e">
        <f>VLOOKUP(B24,'Acceptance Tests'!$A$6:$D$68,COLUMN('Acceptance Tests'!$D$6)-COLUMN('Acceptance Tests'!$A$6)+1,FALSE)</f>
        <v>#N/A</v>
      </c>
      <c r="D24" s="53"/>
      <c r="E24" s="10"/>
      <c r="F24" s="45"/>
      <c r="G24" s="63" t="e">
        <f>VLOOKUP($B24,'Acceptance Tests'!A$6:P$68,COLUMN('Acceptance Tests'!P$6)-COLUMN('Acceptance Tests'!A$6)+1,FALSE)</f>
        <v>#N/A</v>
      </c>
      <c r="H24" s="65"/>
      <c r="I24" s="65"/>
      <c r="J24" s="65"/>
      <c r="K24" s="66">
        <f t="shared" si="0"/>
        <v>0</v>
      </c>
      <c r="L24" s="66">
        <f t="shared" si="1"/>
        <v>0</v>
      </c>
      <c r="M24" s="66">
        <f t="shared" si="2"/>
        <v>0</v>
      </c>
      <c r="N24" s="66">
        <f t="shared" si="11"/>
        <v>0</v>
      </c>
      <c r="O24" s="66">
        <f t="shared" si="12"/>
        <v>0</v>
      </c>
      <c r="P24" s="66">
        <f t="shared" si="3"/>
        <v>0</v>
      </c>
      <c r="Q24" s="65">
        <f t="shared" si="21"/>
        <v>0</v>
      </c>
      <c r="R24" s="65">
        <f t="shared" si="5"/>
        <v>0</v>
      </c>
      <c r="S24" s="65">
        <f t="shared" si="6"/>
        <v>0</v>
      </c>
      <c r="T24" s="65">
        <f t="shared" si="7"/>
        <v>0</v>
      </c>
      <c r="U24" s="65">
        <f t="shared" si="8"/>
        <v>0</v>
      </c>
      <c r="V24" s="69" t="e">
        <f t="shared" ca="1" si="13"/>
        <v>#N/A</v>
      </c>
      <c r="W24" s="69" t="e">
        <f t="shared" ca="1" si="14"/>
        <v>#N/A</v>
      </c>
      <c r="X24" s="72" t="e">
        <f t="shared" ca="1" si="15"/>
        <v>#N/A</v>
      </c>
      <c r="Y24" s="72" t="e">
        <f t="shared" ca="1" si="9"/>
        <v>#N/A</v>
      </c>
      <c r="Z24" s="70" t="e">
        <f t="shared" ca="1" si="16"/>
        <v>#N/A</v>
      </c>
      <c r="AA24" s="70" t="e">
        <f t="shared" ca="1" si="17"/>
        <v>#N/A</v>
      </c>
      <c r="AB24" s="70" t="e">
        <f t="shared" ca="1" si="18"/>
        <v>#N/A</v>
      </c>
      <c r="AC24" s="70" t="e">
        <f t="shared" ca="1" si="19"/>
        <v>#N/A</v>
      </c>
      <c r="AD24" s="59" t="s">
        <v>25</v>
      </c>
      <c r="AE24" s="54" t="e">
        <f t="shared" si="20"/>
        <v>#N/A</v>
      </c>
    </row>
    <row r="25" spans="1:31" x14ac:dyDescent="0.2">
      <c r="A25" s="48" t="str">
        <f t="shared" si="10"/>
        <v>:</v>
      </c>
      <c r="B25" s="10"/>
      <c r="C25" s="55" t="e">
        <f>VLOOKUP(B25,'Acceptance Tests'!$A$6:$D$68,COLUMN('Acceptance Tests'!$D$6)-COLUMN('Acceptance Tests'!$A$6)+1,FALSE)</f>
        <v>#N/A</v>
      </c>
      <c r="D25" s="53"/>
      <c r="E25" s="10"/>
      <c r="F25" s="45"/>
      <c r="G25" s="63" t="e">
        <f>VLOOKUP($B25,'Acceptance Tests'!A$6:P$68,COLUMN('Acceptance Tests'!P$6)-COLUMN('Acceptance Tests'!A$6)+1,FALSE)</f>
        <v>#N/A</v>
      </c>
      <c r="H25" s="65"/>
      <c r="I25" s="65"/>
      <c r="J25" s="65"/>
      <c r="K25" s="66">
        <f t="shared" si="0"/>
        <v>0</v>
      </c>
      <c r="L25" s="66">
        <f t="shared" si="1"/>
        <v>0</v>
      </c>
      <c r="M25" s="66">
        <f t="shared" si="2"/>
        <v>0</v>
      </c>
      <c r="N25" s="66">
        <f t="shared" si="11"/>
        <v>0</v>
      </c>
      <c r="O25" s="66">
        <f t="shared" si="12"/>
        <v>0</v>
      </c>
      <c r="P25" s="66">
        <f t="shared" si="3"/>
        <v>0</v>
      </c>
      <c r="Q25" s="65">
        <f t="shared" si="21"/>
        <v>0</v>
      </c>
      <c r="R25" s="65">
        <f t="shared" si="5"/>
        <v>0</v>
      </c>
      <c r="S25" s="65">
        <f t="shared" si="6"/>
        <v>0</v>
      </c>
      <c r="T25" s="65">
        <f t="shared" si="7"/>
        <v>0</v>
      </c>
      <c r="U25" s="65">
        <f t="shared" si="8"/>
        <v>0</v>
      </c>
      <c r="V25" s="69" t="e">
        <f t="shared" ca="1" si="13"/>
        <v>#N/A</v>
      </c>
      <c r="W25" s="69" t="e">
        <f t="shared" ca="1" si="14"/>
        <v>#N/A</v>
      </c>
      <c r="X25" s="72" t="e">
        <f t="shared" ca="1" si="15"/>
        <v>#N/A</v>
      </c>
      <c r="Y25" s="72" t="e">
        <f t="shared" ca="1" si="9"/>
        <v>#N/A</v>
      </c>
      <c r="Z25" s="70" t="e">
        <f t="shared" ca="1" si="16"/>
        <v>#N/A</v>
      </c>
      <c r="AA25" s="70" t="e">
        <f t="shared" ca="1" si="17"/>
        <v>#N/A</v>
      </c>
      <c r="AB25" s="70" t="e">
        <f t="shared" ca="1" si="18"/>
        <v>#N/A</v>
      </c>
      <c r="AC25" s="70" t="e">
        <f t="shared" ca="1" si="19"/>
        <v>#N/A</v>
      </c>
      <c r="AD25" s="59" t="s">
        <v>25</v>
      </c>
      <c r="AE25" s="54" t="e">
        <f t="shared" si="20"/>
        <v>#N/A</v>
      </c>
    </row>
    <row r="26" spans="1:31" x14ac:dyDescent="0.2">
      <c r="A26" s="48" t="str">
        <f t="shared" si="10"/>
        <v>:</v>
      </c>
      <c r="B26" s="10"/>
      <c r="C26" s="55" t="e">
        <f>VLOOKUP(B26,'Acceptance Tests'!$A$6:$D$68,COLUMN('Acceptance Tests'!$D$6)-COLUMN('Acceptance Tests'!$A$6)+1,FALSE)</f>
        <v>#N/A</v>
      </c>
      <c r="D26" s="53"/>
      <c r="E26" s="10"/>
      <c r="F26" s="45"/>
      <c r="G26" s="63" t="e">
        <f>VLOOKUP($B26,'Acceptance Tests'!A$6:P$68,COLUMN('Acceptance Tests'!P$6)-COLUMN('Acceptance Tests'!A$6)+1,FALSE)</f>
        <v>#N/A</v>
      </c>
      <c r="H26" s="65"/>
      <c r="I26" s="65"/>
      <c r="J26" s="65"/>
      <c r="K26" s="66">
        <f t="shared" si="0"/>
        <v>0</v>
      </c>
      <c r="L26" s="66">
        <f t="shared" si="1"/>
        <v>0</v>
      </c>
      <c r="M26" s="66">
        <f t="shared" si="2"/>
        <v>0</v>
      </c>
      <c r="N26" s="66">
        <f t="shared" si="11"/>
        <v>0</v>
      </c>
      <c r="O26" s="66">
        <f t="shared" si="12"/>
        <v>0</v>
      </c>
      <c r="P26" s="66">
        <f t="shared" si="3"/>
        <v>0</v>
      </c>
      <c r="Q26" s="65">
        <f t="shared" si="21"/>
        <v>0</v>
      </c>
      <c r="R26" s="65">
        <f t="shared" si="5"/>
        <v>0</v>
      </c>
      <c r="S26" s="65">
        <f t="shared" si="6"/>
        <v>0</v>
      </c>
      <c r="T26" s="65">
        <f t="shared" si="7"/>
        <v>0</v>
      </c>
      <c r="U26" s="65">
        <f t="shared" si="8"/>
        <v>0</v>
      </c>
      <c r="V26" s="69" t="e">
        <f t="shared" ca="1" si="13"/>
        <v>#N/A</v>
      </c>
      <c r="W26" s="69" t="e">
        <f t="shared" ca="1" si="14"/>
        <v>#N/A</v>
      </c>
      <c r="X26" s="72" t="e">
        <f t="shared" ca="1" si="15"/>
        <v>#N/A</v>
      </c>
      <c r="Y26" s="72" t="e">
        <f t="shared" ca="1" si="9"/>
        <v>#N/A</v>
      </c>
      <c r="Z26" s="70" t="e">
        <f t="shared" ca="1" si="16"/>
        <v>#N/A</v>
      </c>
      <c r="AA26" s="70" t="e">
        <f t="shared" ca="1" si="17"/>
        <v>#N/A</v>
      </c>
      <c r="AB26" s="70" t="e">
        <f t="shared" ca="1" si="18"/>
        <v>#N/A</v>
      </c>
      <c r="AC26" s="70" t="e">
        <f t="shared" ca="1" si="19"/>
        <v>#N/A</v>
      </c>
      <c r="AD26" s="59" t="s">
        <v>25</v>
      </c>
      <c r="AE26" s="54" t="e">
        <f t="shared" si="20"/>
        <v>#N/A</v>
      </c>
    </row>
    <row r="27" spans="1:31" x14ac:dyDescent="0.2">
      <c r="A27" s="48" t="str">
        <f t="shared" si="10"/>
        <v>:</v>
      </c>
      <c r="B27" s="10"/>
      <c r="C27" s="55" t="e">
        <f>VLOOKUP(B27,'Acceptance Tests'!$A$6:$D$68,COLUMN('Acceptance Tests'!$D$6)-COLUMN('Acceptance Tests'!$A$6)+1,FALSE)</f>
        <v>#N/A</v>
      </c>
      <c r="D27" s="53"/>
      <c r="E27" s="10"/>
      <c r="F27" s="45"/>
      <c r="G27" s="63" t="e">
        <f>VLOOKUP($B27,'Acceptance Tests'!A$6:P$68,COLUMN('Acceptance Tests'!P$6)-COLUMN('Acceptance Tests'!A$6)+1,FALSE)</f>
        <v>#N/A</v>
      </c>
      <c r="H27" s="65"/>
      <c r="I27" s="65"/>
      <c r="J27" s="65"/>
      <c r="K27" s="66">
        <f t="shared" si="0"/>
        <v>0</v>
      </c>
      <c r="L27" s="66">
        <f t="shared" si="1"/>
        <v>0</v>
      </c>
      <c r="M27" s="66">
        <f t="shared" si="2"/>
        <v>0</v>
      </c>
      <c r="N27" s="66">
        <f t="shared" si="11"/>
        <v>0</v>
      </c>
      <c r="O27" s="66">
        <f t="shared" si="12"/>
        <v>0</v>
      </c>
      <c r="P27" s="66">
        <f t="shared" si="3"/>
        <v>0</v>
      </c>
      <c r="Q27" s="65">
        <f t="shared" si="21"/>
        <v>0</v>
      </c>
      <c r="R27" s="65">
        <f t="shared" si="5"/>
        <v>0</v>
      </c>
      <c r="S27" s="65">
        <f t="shared" si="6"/>
        <v>0</v>
      </c>
      <c r="T27" s="65">
        <f t="shared" si="7"/>
        <v>0</v>
      </c>
      <c r="U27" s="65">
        <f t="shared" si="8"/>
        <v>0</v>
      </c>
      <c r="V27" s="69" t="e">
        <f t="shared" ca="1" si="13"/>
        <v>#N/A</v>
      </c>
      <c r="W27" s="69" t="e">
        <f t="shared" ca="1" si="14"/>
        <v>#N/A</v>
      </c>
      <c r="X27" s="72" t="e">
        <f t="shared" ca="1" si="15"/>
        <v>#N/A</v>
      </c>
      <c r="Y27" s="72" t="e">
        <f t="shared" ca="1" si="9"/>
        <v>#N/A</v>
      </c>
      <c r="Z27" s="70" t="e">
        <f t="shared" ca="1" si="16"/>
        <v>#N/A</v>
      </c>
      <c r="AA27" s="70" t="e">
        <f t="shared" ca="1" si="17"/>
        <v>#N/A</v>
      </c>
      <c r="AB27" s="70" t="e">
        <f t="shared" ca="1" si="18"/>
        <v>#N/A</v>
      </c>
      <c r="AC27" s="70" t="e">
        <f t="shared" ca="1" si="19"/>
        <v>#N/A</v>
      </c>
      <c r="AD27" s="59" t="s">
        <v>25</v>
      </c>
      <c r="AE27" s="54" t="e">
        <f t="shared" si="20"/>
        <v>#N/A</v>
      </c>
    </row>
    <row r="28" spans="1:31" x14ac:dyDescent="0.2">
      <c r="A28" s="48" t="str">
        <f t="shared" si="10"/>
        <v>:</v>
      </c>
      <c r="B28" s="10"/>
      <c r="C28" s="55" t="e">
        <f>VLOOKUP(B28,'Acceptance Tests'!$A$6:$D$68,COLUMN('Acceptance Tests'!$D$6)-COLUMN('Acceptance Tests'!$A$6)+1,FALSE)</f>
        <v>#N/A</v>
      </c>
      <c r="D28" s="53"/>
      <c r="E28" s="10"/>
      <c r="F28" s="45"/>
      <c r="G28" s="63" t="e">
        <f>VLOOKUP($B28,'Acceptance Tests'!A$6:P$68,COLUMN('Acceptance Tests'!P$6)-COLUMN('Acceptance Tests'!A$6)+1,FALSE)</f>
        <v>#N/A</v>
      </c>
      <c r="H28" s="65"/>
      <c r="I28" s="65"/>
      <c r="J28" s="65"/>
      <c r="K28" s="66">
        <f t="shared" si="0"/>
        <v>0</v>
      </c>
      <c r="L28" s="66">
        <f t="shared" si="1"/>
        <v>0</v>
      </c>
      <c r="M28" s="66">
        <f t="shared" si="2"/>
        <v>0</v>
      </c>
      <c r="N28" s="66">
        <f t="shared" si="11"/>
        <v>0</v>
      </c>
      <c r="O28" s="66">
        <f t="shared" si="12"/>
        <v>0</v>
      </c>
      <c r="P28" s="66">
        <f t="shared" si="3"/>
        <v>0</v>
      </c>
      <c r="Q28" s="65">
        <f t="shared" si="21"/>
        <v>0</v>
      </c>
      <c r="R28" s="65">
        <f t="shared" si="5"/>
        <v>0</v>
      </c>
      <c r="S28" s="65">
        <f t="shared" si="6"/>
        <v>0</v>
      </c>
      <c r="T28" s="65">
        <f t="shared" si="7"/>
        <v>0</v>
      </c>
      <c r="U28" s="65">
        <f t="shared" si="8"/>
        <v>0</v>
      </c>
      <c r="V28" s="69" t="e">
        <f t="shared" ca="1" si="13"/>
        <v>#N/A</v>
      </c>
      <c r="W28" s="69" t="e">
        <f t="shared" ca="1" si="14"/>
        <v>#N/A</v>
      </c>
      <c r="X28" s="72" t="e">
        <f t="shared" ca="1" si="15"/>
        <v>#N/A</v>
      </c>
      <c r="Y28" s="72" t="e">
        <f t="shared" ca="1" si="9"/>
        <v>#N/A</v>
      </c>
      <c r="Z28" s="70" t="e">
        <f t="shared" ca="1" si="16"/>
        <v>#N/A</v>
      </c>
      <c r="AA28" s="70" t="e">
        <f t="shared" ca="1" si="17"/>
        <v>#N/A</v>
      </c>
      <c r="AB28" s="70" t="e">
        <f t="shared" ca="1" si="18"/>
        <v>#N/A</v>
      </c>
      <c r="AC28" s="70" t="e">
        <f t="shared" ca="1" si="19"/>
        <v>#N/A</v>
      </c>
      <c r="AD28" s="59" t="s">
        <v>25</v>
      </c>
      <c r="AE28" s="54" t="e">
        <f t="shared" si="20"/>
        <v>#N/A</v>
      </c>
    </row>
    <row r="29" spans="1:31" x14ac:dyDescent="0.2">
      <c r="A29" s="48" t="str">
        <f t="shared" si="10"/>
        <v>:</v>
      </c>
      <c r="B29" s="10"/>
      <c r="C29" s="55" t="e">
        <f>VLOOKUP(B29,'Acceptance Tests'!$A$6:$D$68,COLUMN('Acceptance Tests'!$D$6)-COLUMN('Acceptance Tests'!$A$6)+1,FALSE)</f>
        <v>#N/A</v>
      </c>
      <c r="D29" s="53"/>
      <c r="E29" s="10"/>
      <c r="F29" s="45"/>
      <c r="G29" s="63" t="e">
        <f>VLOOKUP($B29,'Acceptance Tests'!A$6:P$68,COLUMN('Acceptance Tests'!P$6)-COLUMN('Acceptance Tests'!A$6)+1,FALSE)</f>
        <v>#N/A</v>
      </c>
      <c r="H29" s="65"/>
      <c r="I29" s="65"/>
      <c r="J29" s="65"/>
      <c r="K29" s="66">
        <f t="shared" si="0"/>
        <v>0</v>
      </c>
      <c r="L29" s="66">
        <f t="shared" si="1"/>
        <v>0</v>
      </c>
      <c r="M29" s="66">
        <f t="shared" si="2"/>
        <v>0</v>
      </c>
      <c r="N29" s="66">
        <f t="shared" si="11"/>
        <v>0</v>
      </c>
      <c r="O29" s="66">
        <f t="shared" si="12"/>
        <v>0</v>
      </c>
      <c r="P29" s="66">
        <f t="shared" si="3"/>
        <v>0</v>
      </c>
      <c r="Q29" s="65">
        <f t="shared" si="21"/>
        <v>0</v>
      </c>
      <c r="R29" s="65">
        <f t="shared" si="5"/>
        <v>0</v>
      </c>
      <c r="S29" s="65">
        <f t="shared" si="6"/>
        <v>0</v>
      </c>
      <c r="T29" s="65">
        <f t="shared" si="7"/>
        <v>0</v>
      </c>
      <c r="U29" s="65">
        <f t="shared" si="8"/>
        <v>0</v>
      </c>
      <c r="V29" s="69" t="e">
        <f t="shared" ca="1" si="13"/>
        <v>#N/A</v>
      </c>
      <c r="W29" s="69" t="e">
        <f t="shared" ca="1" si="14"/>
        <v>#N/A</v>
      </c>
      <c r="X29" s="72" t="e">
        <f t="shared" ca="1" si="15"/>
        <v>#N/A</v>
      </c>
      <c r="Y29" s="72" t="e">
        <f t="shared" ca="1" si="9"/>
        <v>#N/A</v>
      </c>
      <c r="Z29" s="70" t="e">
        <f t="shared" ca="1" si="16"/>
        <v>#N/A</v>
      </c>
      <c r="AA29" s="70" t="e">
        <f t="shared" ca="1" si="17"/>
        <v>#N/A</v>
      </c>
      <c r="AB29" s="70" t="e">
        <f t="shared" ca="1" si="18"/>
        <v>#N/A</v>
      </c>
      <c r="AC29" s="70" t="e">
        <f t="shared" ca="1" si="19"/>
        <v>#N/A</v>
      </c>
      <c r="AD29" s="59" t="s">
        <v>25</v>
      </c>
      <c r="AE29" s="54" t="e">
        <f t="shared" si="20"/>
        <v>#N/A</v>
      </c>
    </row>
    <row r="30" spans="1:31" x14ac:dyDescent="0.2">
      <c r="A30" s="48" t="str">
        <f t="shared" si="10"/>
        <v>:</v>
      </c>
      <c r="B30" s="10"/>
      <c r="C30" s="55" t="e">
        <f>VLOOKUP(B30,'Acceptance Tests'!$A$6:$D$68,COLUMN('Acceptance Tests'!$D$6)-COLUMN('Acceptance Tests'!$A$6)+1,FALSE)</f>
        <v>#N/A</v>
      </c>
      <c r="D30" s="53"/>
      <c r="E30" s="10"/>
      <c r="F30" s="45"/>
      <c r="G30" s="63" t="e">
        <f>VLOOKUP($B30,'Acceptance Tests'!A$6:P$68,COLUMN('Acceptance Tests'!P$6)-COLUMN('Acceptance Tests'!A$6)+1,FALSE)</f>
        <v>#N/A</v>
      </c>
      <c r="H30" s="65"/>
      <c r="I30" s="65"/>
      <c r="J30" s="65"/>
      <c r="K30" s="66">
        <f t="shared" si="0"/>
        <v>0</v>
      </c>
      <c r="L30" s="66">
        <f t="shared" si="1"/>
        <v>0</v>
      </c>
      <c r="M30" s="66">
        <f t="shared" si="2"/>
        <v>0</v>
      </c>
      <c r="N30" s="66">
        <f t="shared" si="11"/>
        <v>0</v>
      </c>
      <c r="O30" s="66">
        <f t="shared" si="12"/>
        <v>0</v>
      </c>
      <c r="P30" s="66">
        <f t="shared" si="3"/>
        <v>0</v>
      </c>
      <c r="Q30" s="65">
        <f t="shared" si="21"/>
        <v>0</v>
      </c>
      <c r="R30" s="65">
        <f t="shared" si="5"/>
        <v>0</v>
      </c>
      <c r="S30" s="65">
        <f t="shared" si="6"/>
        <v>0</v>
      </c>
      <c r="T30" s="65">
        <f t="shared" si="7"/>
        <v>0</v>
      </c>
      <c r="U30" s="65">
        <f t="shared" si="8"/>
        <v>0</v>
      </c>
      <c r="V30" s="69" t="e">
        <f t="shared" ca="1" si="13"/>
        <v>#N/A</v>
      </c>
      <c r="W30" s="69" t="e">
        <f t="shared" ca="1" si="14"/>
        <v>#N/A</v>
      </c>
      <c r="X30" s="73" t="e">
        <f t="shared" ca="1" si="15"/>
        <v>#N/A</v>
      </c>
      <c r="Y30" s="73" t="e">
        <f t="shared" ca="1" si="9"/>
        <v>#N/A</v>
      </c>
      <c r="Z30" s="70" t="e">
        <f t="shared" ca="1" si="16"/>
        <v>#N/A</v>
      </c>
      <c r="AA30" s="70" t="e">
        <f t="shared" ca="1" si="17"/>
        <v>#N/A</v>
      </c>
      <c r="AB30" s="70" t="e">
        <f t="shared" ca="1" si="18"/>
        <v>#N/A</v>
      </c>
      <c r="AC30" s="70" t="e">
        <f t="shared" ca="1" si="19"/>
        <v>#N/A</v>
      </c>
      <c r="AD30" s="59" t="s">
        <v>25</v>
      </c>
      <c r="AE30" s="54" t="e">
        <f t="shared" si="20"/>
        <v>#N/A</v>
      </c>
    </row>
    <row r="31" spans="1:31" x14ac:dyDescent="0.2">
      <c r="E31" s="46" t="s">
        <v>22</v>
      </c>
      <c r="F31" s="47"/>
      <c r="G31" s="65">
        <v>1</v>
      </c>
      <c r="H31" s="67">
        <f t="shared" ref="H31:K35" si="22">SUMIF($G$4:$G$30,$G31,H$4:H$30)</f>
        <v>0</v>
      </c>
      <c r="I31" s="67">
        <f>SUMIF($G$4:$G$30,$G31,I$4:I$30)</f>
        <v>0</v>
      </c>
      <c r="J31" s="67">
        <f t="shared" si="22"/>
        <v>0</v>
      </c>
      <c r="K31" s="67">
        <f t="shared" si="22"/>
        <v>0</v>
      </c>
      <c r="L31" s="67">
        <f>SQRT(SUMIF($G$4:$G$30,$G31,M$4:M$30))</f>
        <v>0</v>
      </c>
      <c r="M31" s="67">
        <f t="shared" si="2"/>
        <v>0</v>
      </c>
      <c r="N31" s="67">
        <f t="shared" si="11"/>
        <v>0</v>
      </c>
      <c r="O31" s="67">
        <f t="shared" si="12"/>
        <v>0</v>
      </c>
      <c r="P31" s="67">
        <f t="shared" ref="P31:U35" si="23">SUMIF($G$4:$G$30,$G31,P$4:P$30)</f>
        <v>0</v>
      </c>
      <c r="Q31" s="67">
        <f t="shared" si="23"/>
        <v>0</v>
      </c>
      <c r="R31" s="67">
        <f t="shared" si="23"/>
        <v>0</v>
      </c>
      <c r="S31" s="67">
        <f t="shared" si="23"/>
        <v>0</v>
      </c>
      <c r="T31" s="67">
        <f t="shared" si="23"/>
        <v>0</v>
      </c>
      <c r="U31" s="67">
        <f t="shared" si="23"/>
        <v>0</v>
      </c>
      <c r="V31" s="74">
        <f>U31</f>
        <v>0</v>
      </c>
      <c r="W31" s="68" t="s">
        <v>25</v>
      </c>
      <c r="X31" s="68" t="s">
        <v>25</v>
      </c>
      <c r="Y31" s="61" t="s">
        <v>25</v>
      </c>
      <c r="Z31" s="61" t="s">
        <v>25</v>
      </c>
      <c r="AA31" s="61" t="s">
        <v>25</v>
      </c>
      <c r="AB31" s="61" t="s">
        <v>25</v>
      </c>
      <c r="AC31" s="61" t="s">
        <v>25</v>
      </c>
      <c r="AD31" s="62"/>
      <c r="AE31" s="62">
        <v>5</v>
      </c>
    </row>
    <row r="32" spans="1:31" x14ac:dyDescent="0.2">
      <c r="E32" s="46" t="s">
        <v>22</v>
      </c>
      <c r="F32" s="47"/>
      <c r="G32" s="65">
        <v>2</v>
      </c>
      <c r="H32" s="67">
        <f t="shared" si="22"/>
        <v>0</v>
      </c>
      <c r="I32" s="67">
        <f>SUMIF($G$4:$G$30,$G32,I$4:I$30)</f>
        <v>0</v>
      </c>
      <c r="J32" s="67">
        <f t="shared" si="22"/>
        <v>0</v>
      </c>
      <c r="K32" s="67">
        <f t="shared" si="22"/>
        <v>0</v>
      </c>
      <c r="L32" s="67">
        <f t="shared" ref="L32:L35" si="24">SQRT(SUMIF($G$4:$G$30,$G32,M$4:M$30))</f>
        <v>0</v>
      </c>
      <c r="M32" s="67">
        <f>L32*L32</f>
        <v>0</v>
      </c>
      <c r="N32" s="67">
        <f>ROUND(K32-(ROUND(SQRT(M32),0)),0)</f>
        <v>0</v>
      </c>
      <c r="O32" s="67">
        <f>ROUND(K32+(ROUND(SQRT(M32),0)),0)</f>
        <v>0</v>
      </c>
      <c r="P32" s="67">
        <f t="shared" si="23"/>
        <v>0</v>
      </c>
      <c r="Q32" s="67">
        <f t="shared" si="23"/>
        <v>0</v>
      </c>
      <c r="R32" s="67">
        <f t="shared" si="23"/>
        <v>0</v>
      </c>
      <c r="S32" s="67">
        <f t="shared" si="23"/>
        <v>0</v>
      </c>
      <c r="T32" s="67">
        <f t="shared" si="23"/>
        <v>0</v>
      </c>
      <c r="U32" s="67">
        <f t="shared" si="23"/>
        <v>0</v>
      </c>
      <c r="V32" s="74">
        <f>U32</f>
        <v>0</v>
      </c>
      <c r="W32" s="68" t="s">
        <v>25</v>
      </c>
      <c r="X32" s="68" t="s">
        <v>25</v>
      </c>
      <c r="Y32" s="61" t="s">
        <v>25</v>
      </c>
      <c r="Z32" s="61" t="s">
        <v>25</v>
      </c>
      <c r="AA32" s="61" t="s">
        <v>25</v>
      </c>
      <c r="AB32" s="61" t="s">
        <v>25</v>
      </c>
      <c r="AC32" s="61" t="s">
        <v>25</v>
      </c>
      <c r="AD32" s="62"/>
      <c r="AE32" s="62">
        <v>5</v>
      </c>
    </row>
    <row r="33" spans="5:31" x14ac:dyDescent="0.2">
      <c r="E33" s="46" t="s">
        <v>22</v>
      </c>
      <c r="F33" s="47"/>
      <c r="G33" s="65">
        <v>3</v>
      </c>
      <c r="H33" s="67">
        <f t="shared" si="22"/>
        <v>0</v>
      </c>
      <c r="I33" s="67">
        <f>SUMIF($G$4:$G$30,$G33,I$4:I$30)</f>
        <v>0</v>
      </c>
      <c r="J33" s="67">
        <f t="shared" si="22"/>
        <v>0</v>
      </c>
      <c r="K33" s="67">
        <f t="shared" si="22"/>
        <v>0</v>
      </c>
      <c r="L33" s="67">
        <f t="shared" si="24"/>
        <v>0</v>
      </c>
      <c r="M33" s="67">
        <f>L33*L33</f>
        <v>0</v>
      </c>
      <c r="N33" s="67">
        <f>ROUND(K33-(ROUND(SQRT(M33),0)),0)</f>
        <v>0</v>
      </c>
      <c r="O33" s="67">
        <f>ROUND(K33+(ROUND(SQRT(M33),0)),0)</f>
        <v>0</v>
      </c>
      <c r="P33" s="67">
        <f t="shared" si="23"/>
        <v>0</v>
      </c>
      <c r="Q33" s="67">
        <f t="shared" si="23"/>
        <v>0</v>
      </c>
      <c r="R33" s="67">
        <f t="shared" si="23"/>
        <v>0</v>
      </c>
      <c r="S33" s="67">
        <f t="shared" si="23"/>
        <v>0</v>
      </c>
      <c r="T33" s="67">
        <f t="shared" si="23"/>
        <v>0</v>
      </c>
      <c r="U33" s="67">
        <f t="shared" si="23"/>
        <v>0</v>
      </c>
      <c r="V33" s="74">
        <f>U33</f>
        <v>0</v>
      </c>
      <c r="W33" s="68" t="s">
        <v>25</v>
      </c>
      <c r="X33" s="68" t="s">
        <v>25</v>
      </c>
      <c r="Y33" s="61" t="s">
        <v>25</v>
      </c>
      <c r="Z33" s="61" t="s">
        <v>25</v>
      </c>
      <c r="AA33" s="61" t="s">
        <v>25</v>
      </c>
      <c r="AB33" s="61" t="s">
        <v>25</v>
      </c>
      <c r="AC33" s="61" t="s">
        <v>25</v>
      </c>
      <c r="AD33" s="62"/>
      <c r="AE33" s="62">
        <v>5</v>
      </c>
    </row>
    <row r="34" spans="5:31" x14ac:dyDescent="0.2">
      <c r="E34" s="46" t="s">
        <v>22</v>
      </c>
      <c r="F34" s="47"/>
      <c r="G34" s="65">
        <v>4</v>
      </c>
      <c r="H34" s="67">
        <f t="shared" si="22"/>
        <v>0</v>
      </c>
      <c r="I34" s="67">
        <f>SUMIF($G$4:$G$30,$G34,I$4:I$30)</f>
        <v>0</v>
      </c>
      <c r="J34" s="67">
        <f t="shared" si="22"/>
        <v>0</v>
      </c>
      <c r="K34" s="67">
        <f t="shared" si="22"/>
        <v>0</v>
      </c>
      <c r="L34" s="67">
        <f t="shared" si="24"/>
        <v>0</v>
      </c>
      <c r="M34" s="67">
        <f>L34*L34</f>
        <v>0</v>
      </c>
      <c r="N34" s="67">
        <f>ROUND(K34-(ROUND(SQRT(M34),0)),0)</f>
        <v>0</v>
      </c>
      <c r="O34" s="67">
        <f>ROUND(K34+(ROUND(SQRT(M34),0)),0)</f>
        <v>0</v>
      </c>
      <c r="P34" s="67">
        <f t="shared" si="23"/>
        <v>0</v>
      </c>
      <c r="Q34" s="67">
        <f t="shared" si="23"/>
        <v>0</v>
      </c>
      <c r="R34" s="67">
        <f t="shared" si="23"/>
        <v>0</v>
      </c>
      <c r="S34" s="67">
        <f t="shared" si="23"/>
        <v>0</v>
      </c>
      <c r="T34" s="67">
        <f t="shared" si="23"/>
        <v>0</v>
      </c>
      <c r="U34" s="67">
        <f t="shared" si="23"/>
        <v>0</v>
      </c>
      <c r="V34" s="74">
        <f>U34</f>
        <v>0</v>
      </c>
      <c r="W34" s="68" t="s">
        <v>25</v>
      </c>
      <c r="X34" s="68" t="s">
        <v>25</v>
      </c>
      <c r="Y34" s="61" t="s">
        <v>25</v>
      </c>
      <c r="Z34" s="61" t="s">
        <v>25</v>
      </c>
      <c r="AA34" s="61" t="s">
        <v>25</v>
      </c>
      <c r="AB34" s="61" t="s">
        <v>25</v>
      </c>
      <c r="AC34" s="61" t="s">
        <v>25</v>
      </c>
      <c r="AD34" s="62"/>
      <c r="AE34" s="62">
        <v>5</v>
      </c>
    </row>
    <row r="35" spans="5:31" x14ac:dyDescent="0.2">
      <c r="E35" s="46" t="s">
        <v>22</v>
      </c>
      <c r="F35" s="47"/>
      <c r="G35" s="65">
        <v>5</v>
      </c>
      <c r="H35" s="67">
        <f t="shared" si="22"/>
        <v>0</v>
      </c>
      <c r="I35" s="67">
        <f>SUMIF($G$4:$G$30,$G35,I$4:I$30)</f>
        <v>0</v>
      </c>
      <c r="J35" s="67">
        <f t="shared" si="22"/>
        <v>0</v>
      </c>
      <c r="K35" s="67">
        <f t="shared" si="22"/>
        <v>0</v>
      </c>
      <c r="L35" s="67">
        <f t="shared" si="24"/>
        <v>0</v>
      </c>
      <c r="M35" s="67">
        <f>L35*L35</f>
        <v>0</v>
      </c>
      <c r="N35" s="67">
        <f>ROUND(K35-(ROUND(SQRT(M35),0)),0)</f>
        <v>0</v>
      </c>
      <c r="O35" s="67">
        <f>ROUND(K35+(ROUND(SQRT(M35),0)),0)</f>
        <v>0</v>
      </c>
      <c r="P35" s="67">
        <f t="shared" si="23"/>
        <v>0</v>
      </c>
      <c r="Q35" s="67">
        <f t="shared" si="23"/>
        <v>0</v>
      </c>
      <c r="R35" s="67">
        <f t="shared" si="23"/>
        <v>0</v>
      </c>
      <c r="S35" s="67">
        <f t="shared" si="23"/>
        <v>0</v>
      </c>
      <c r="T35" s="67">
        <f t="shared" si="23"/>
        <v>0</v>
      </c>
      <c r="U35" s="67">
        <f t="shared" si="23"/>
        <v>0</v>
      </c>
      <c r="V35" s="74">
        <f>U35</f>
        <v>0</v>
      </c>
      <c r="W35" s="68" t="s">
        <v>25</v>
      </c>
      <c r="X35" s="68" t="s">
        <v>25</v>
      </c>
      <c r="Y35" s="61" t="s">
        <v>25</v>
      </c>
      <c r="Z35" s="61" t="s">
        <v>25</v>
      </c>
      <c r="AA35" s="61" t="s">
        <v>25</v>
      </c>
      <c r="AB35" s="61" t="s">
        <v>25</v>
      </c>
      <c r="AC35" s="61" t="s">
        <v>25</v>
      </c>
      <c r="AD35" s="62"/>
      <c r="AE35" s="62">
        <v>5</v>
      </c>
    </row>
  </sheetData>
  <mergeCells count="1">
    <mergeCell ref="A1:E1"/>
  </mergeCells>
  <pageMargins left="0.75" right="0.75" top="1" bottom="1" header="0.5" footer="0.5"/>
  <pageSetup paperSize="9"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6"/>
  <sheetViews>
    <sheetView workbookViewId="0">
      <selection activeCell="B7" sqref="B7"/>
    </sheetView>
  </sheetViews>
  <sheetFormatPr defaultRowHeight="12.75" x14ac:dyDescent="0.2"/>
  <cols>
    <col min="15" max="15" width="5.85546875" bestFit="1" customWidth="1"/>
    <col min="16" max="16" width="7.7109375" bestFit="1" customWidth="1"/>
    <col min="17" max="17" width="14.85546875" bestFit="1" customWidth="1"/>
  </cols>
  <sheetData>
    <row r="1" spans="1:17" x14ac:dyDescent="0.2">
      <c r="A1" s="8" t="s">
        <v>24</v>
      </c>
      <c r="B1" s="8" t="s">
        <v>33</v>
      </c>
      <c r="C1" s="8" t="s">
        <v>30</v>
      </c>
      <c r="D1" s="8" t="s">
        <v>31</v>
      </c>
      <c r="E1" s="8" t="s">
        <v>32</v>
      </c>
    </row>
    <row r="2" spans="1:17" ht="15" x14ac:dyDescent="0.25">
      <c r="A2" s="9">
        <v>1</v>
      </c>
      <c r="B2" s="5">
        <f>SUMIF('Acceptance Tests'!P$21:P$68,'Velocity Chart'!A2,'Acceptance Tests'!AI$21:AI$68)</f>
        <v>0</v>
      </c>
      <c r="C2" s="5">
        <f>AVERAGE($B$2:$B$3)</f>
        <v>0</v>
      </c>
      <c r="D2" s="5">
        <f>MIN($B$2:$B$3)</f>
        <v>0</v>
      </c>
      <c r="E2" s="5">
        <f>MAX($B$2:$B$8)</f>
        <v>0</v>
      </c>
    </row>
    <row r="3" spans="1:17" ht="15" x14ac:dyDescent="0.25">
      <c r="A3" s="9">
        <v>2</v>
      </c>
      <c r="B3" s="5">
        <f>SUMIF('Acceptance Tests'!P$21:P$68,'Velocity Chart'!A3,'Acceptance Tests'!AI$21:AI$68)</f>
        <v>0</v>
      </c>
      <c r="C3" s="5">
        <f t="shared" ref="C3:C6" si="0">AVERAGE($B$2:$B$3)</f>
        <v>0</v>
      </c>
      <c r="D3" s="5">
        <f t="shared" ref="D3:D6" si="1">MIN($B$2:$B$3)</f>
        <v>0</v>
      </c>
      <c r="E3" s="5">
        <f>MAX($B$2:$B$3)</f>
        <v>0</v>
      </c>
      <c r="O3" s="11"/>
      <c r="P3" s="11"/>
      <c r="Q3" s="11"/>
    </row>
    <row r="4" spans="1:17" ht="15" x14ac:dyDescent="0.25">
      <c r="A4" s="9">
        <v>3</v>
      </c>
      <c r="B4" s="5">
        <f>SUMIF('Acceptance Tests'!P$21:P$68,'Velocity Chart'!A4,'Acceptance Tests'!AI$21:AI$68)</f>
        <v>0</v>
      </c>
      <c r="C4" s="5">
        <f t="shared" si="0"/>
        <v>0</v>
      </c>
      <c r="D4" s="5">
        <f t="shared" si="1"/>
        <v>0</v>
      </c>
      <c r="E4" s="5">
        <f>MAX($B$2:$B$8)</f>
        <v>0</v>
      </c>
      <c r="O4" s="11"/>
      <c r="P4" s="12"/>
      <c r="Q4" s="12"/>
    </row>
    <row r="5" spans="1:17" ht="15" x14ac:dyDescent="0.25">
      <c r="A5" s="9">
        <v>4</v>
      </c>
      <c r="B5" s="5">
        <f>SUMIF('Acceptance Tests'!P$21:P$68,'Velocity Chart'!A5,'Acceptance Tests'!AI$21:AI$68)</f>
        <v>0</v>
      </c>
      <c r="C5" s="5">
        <f t="shared" si="0"/>
        <v>0</v>
      </c>
      <c r="D5" s="5">
        <f t="shared" si="1"/>
        <v>0</v>
      </c>
      <c r="E5" s="5">
        <f>MAX($B$2:$B$8)</f>
        <v>0</v>
      </c>
      <c r="O5" s="11"/>
      <c r="P5" s="12"/>
      <c r="Q5" s="12"/>
    </row>
    <row r="6" spans="1:17" ht="15" x14ac:dyDescent="0.25">
      <c r="A6" s="9">
        <v>5</v>
      </c>
      <c r="B6" s="5">
        <f>SUMIF('Acceptance Tests'!P$21:P$68,'Velocity Chart'!A6,'Acceptance Tests'!AI$21:AI$68)</f>
        <v>0</v>
      </c>
      <c r="C6" s="5">
        <f t="shared" si="0"/>
        <v>0</v>
      </c>
      <c r="D6" s="5">
        <f t="shared" si="1"/>
        <v>0</v>
      </c>
      <c r="E6" s="5">
        <f>MAX($B$2:$B$8)</f>
        <v>0</v>
      </c>
      <c r="O6" s="11"/>
      <c r="P6" s="12"/>
      <c r="Q6" s="12"/>
    </row>
    <row r="7" spans="1:17" x14ac:dyDescent="0.2">
      <c r="O7" s="11"/>
      <c r="P7" s="12"/>
      <c r="Q7" s="12"/>
    </row>
    <row r="8" spans="1:17" x14ac:dyDescent="0.2">
      <c r="O8" s="11"/>
      <c r="P8" s="12"/>
      <c r="Q8" s="12"/>
    </row>
    <row r="9" spans="1:17" x14ac:dyDescent="0.2">
      <c r="O9" s="11"/>
      <c r="P9" s="12"/>
      <c r="Q9" s="12"/>
    </row>
    <row r="20" spans="1:5" x14ac:dyDescent="0.2">
      <c r="A20" s="8" t="s">
        <v>24</v>
      </c>
      <c r="B20" s="8" t="s">
        <v>33</v>
      </c>
      <c r="C20" s="8" t="s">
        <v>30</v>
      </c>
      <c r="D20" s="8" t="s">
        <v>31</v>
      </c>
      <c r="E20" s="8" t="s">
        <v>32</v>
      </c>
    </row>
    <row r="21" spans="1:5" ht="15" x14ac:dyDescent="0.25">
      <c r="A21" s="9">
        <v>1</v>
      </c>
      <c r="B21" s="5">
        <f>SUMIF('Acceptance Tests'!P$6:P$68,A21,'Acceptance Tests'!W$6:W$68)</f>
        <v>0</v>
      </c>
      <c r="C21" s="5">
        <f>AVERAGE($B$21:$B$22)</f>
        <v>0</v>
      </c>
      <c r="D21" s="5">
        <f>MIN($B$21:$B$22)</f>
        <v>0</v>
      </c>
      <c r="E21" s="5">
        <f>MAX($B$21:$B$22)</f>
        <v>0</v>
      </c>
    </row>
    <row r="22" spans="1:5" ht="15" x14ac:dyDescent="0.25">
      <c r="A22" s="9">
        <v>2</v>
      </c>
      <c r="B22" s="5">
        <f>SUMIF('Acceptance Tests'!P$6:P$68,A22,'Acceptance Tests'!W$6:W$68)</f>
        <v>0</v>
      </c>
      <c r="C22" s="5">
        <f t="shared" ref="C22:C25" si="2">AVERAGE($B$21:$B$22)</f>
        <v>0</v>
      </c>
      <c r="D22" s="5">
        <f t="shared" ref="D22:D25" si="3">MIN($B$21:$B$22)</f>
        <v>0</v>
      </c>
      <c r="E22" s="5">
        <f t="shared" ref="E22:E25" si="4">MAX($B$21:$B$22)</f>
        <v>0</v>
      </c>
    </row>
    <row r="23" spans="1:5" ht="15" x14ac:dyDescent="0.25">
      <c r="A23" s="9">
        <v>3</v>
      </c>
      <c r="B23" s="5">
        <f>SUMIF('Acceptance Tests'!P$6:P$68,A23,'Acceptance Tests'!W$6:W$68)</f>
        <v>0</v>
      </c>
      <c r="C23" s="5">
        <f t="shared" si="2"/>
        <v>0</v>
      </c>
      <c r="D23" s="5">
        <f t="shared" si="3"/>
        <v>0</v>
      </c>
      <c r="E23" s="5">
        <f t="shared" si="4"/>
        <v>0</v>
      </c>
    </row>
    <row r="24" spans="1:5" ht="15" x14ac:dyDescent="0.25">
      <c r="A24" s="9">
        <v>4</v>
      </c>
      <c r="B24" s="5">
        <f>SUMIF('Acceptance Tests'!P$6:P$68,A24,'Acceptance Tests'!W$6:W$68)</f>
        <v>0</v>
      </c>
      <c r="C24" s="5">
        <f t="shared" si="2"/>
        <v>0</v>
      </c>
      <c r="D24" s="5">
        <f t="shared" si="3"/>
        <v>0</v>
      </c>
      <c r="E24" s="5">
        <f t="shared" si="4"/>
        <v>0</v>
      </c>
    </row>
    <row r="25" spans="1:5" ht="15" x14ac:dyDescent="0.25">
      <c r="A25" s="9">
        <v>5</v>
      </c>
      <c r="B25" s="5">
        <f>SUMIF('Acceptance Tests'!P$6:P$68,A25,'Acceptance Tests'!W$6:W$68)</f>
        <v>0</v>
      </c>
      <c r="C25" s="5">
        <f t="shared" si="2"/>
        <v>0</v>
      </c>
      <c r="D25" s="5">
        <f t="shared" si="3"/>
        <v>0</v>
      </c>
      <c r="E25" s="5">
        <f t="shared" si="4"/>
        <v>0</v>
      </c>
    </row>
    <row r="33" spans="1:5" x14ac:dyDescent="0.2">
      <c r="B33" s="76"/>
    </row>
    <row r="34" spans="1:5" x14ac:dyDescent="0.2">
      <c r="B34" s="76"/>
    </row>
    <row r="35" spans="1:5" x14ac:dyDescent="0.2">
      <c r="B35" s="76"/>
    </row>
    <row r="41" spans="1:5" x14ac:dyDescent="0.2">
      <c r="A41" s="8" t="s">
        <v>24</v>
      </c>
      <c r="B41" s="8" t="s">
        <v>33</v>
      </c>
      <c r="C41" s="8" t="s">
        <v>30</v>
      </c>
      <c r="D41" s="8" t="s">
        <v>31</v>
      </c>
      <c r="E41" s="8" t="s">
        <v>32</v>
      </c>
    </row>
    <row r="42" spans="1:5" ht="15" x14ac:dyDescent="0.25">
      <c r="A42" s="9">
        <v>1</v>
      </c>
      <c r="B42" s="5">
        <f>VLOOKUP(A42,Tasks!$G$31:$AE$35,COLUMN(Tasks!$AD$35) - COLUMN(Tasks!$G$31)+1,FALSE)</f>
        <v>0</v>
      </c>
      <c r="C42" s="5">
        <f>AVERAGE($B$42:$B$46)</f>
        <v>0</v>
      </c>
      <c r="D42" s="5">
        <f>MIN($B$42:$B$46)</f>
        <v>0</v>
      </c>
      <c r="E42" s="5">
        <f>MAX($B$42:$B$46)</f>
        <v>0</v>
      </c>
    </row>
    <row r="43" spans="1:5" ht="15" x14ac:dyDescent="0.25">
      <c r="A43" s="9">
        <v>2</v>
      </c>
      <c r="B43" s="5">
        <f>VLOOKUP(A43,Tasks!$G$31:$AE$35,COLUMN(Tasks!$AD$35) - COLUMN(Tasks!$G$31)+1,FALSE)</f>
        <v>0</v>
      </c>
      <c r="C43" s="5">
        <f>AVERAGE($B$42:$B$48)</f>
        <v>0</v>
      </c>
      <c r="D43" s="5">
        <f t="shared" ref="D43:D46" si="5">MIN($B$42:$B$46)</f>
        <v>0</v>
      </c>
      <c r="E43" s="5">
        <f t="shared" ref="E43:E46" si="6">MAX($B$42:$B$46)</f>
        <v>0</v>
      </c>
    </row>
    <row r="44" spans="1:5" ht="15" x14ac:dyDescent="0.25">
      <c r="A44" s="9">
        <v>3</v>
      </c>
      <c r="B44" s="5">
        <f>VLOOKUP(A44,Tasks!$G$31:$AE$35,COLUMN(Tasks!$AD$35) - COLUMN(Tasks!$G$31)+1,FALSE)</f>
        <v>0</v>
      </c>
      <c r="C44" s="5">
        <f>AVERAGE($B$42:$B$48)</f>
        <v>0</v>
      </c>
      <c r="D44" s="5">
        <f t="shared" si="5"/>
        <v>0</v>
      </c>
      <c r="E44" s="5">
        <f t="shared" si="6"/>
        <v>0</v>
      </c>
    </row>
    <row r="45" spans="1:5" ht="15" x14ac:dyDescent="0.25">
      <c r="A45" s="9">
        <v>4</v>
      </c>
      <c r="B45" s="5">
        <f>VLOOKUP(A45,Tasks!$G$31:$AE$35,COLUMN(Tasks!$AD$35) - COLUMN(Tasks!$G$31)+1,FALSE)</f>
        <v>0</v>
      </c>
      <c r="C45" s="5">
        <f>AVERAGE($B$42:$B$48)</f>
        <v>0</v>
      </c>
      <c r="D45" s="5">
        <f t="shared" si="5"/>
        <v>0</v>
      </c>
      <c r="E45" s="5">
        <f t="shared" si="6"/>
        <v>0</v>
      </c>
    </row>
    <row r="46" spans="1:5" ht="15" x14ac:dyDescent="0.25">
      <c r="A46" s="9">
        <v>5</v>
      </c>
      <c r="B46" s="5">
        <f>VLOOKUP(A46,Tasks!$G$31:$AE$35,COLUMN(Tasks!$AD$35) - COLUMN(Tasks!$G$31)+1,FALSE)</f>
        <v>0</v>
      </c>
      <c r="C46" s="5">
        <f>AVERAGE($B$42:$B$48)</f>
        <v>0</v>
      </c>
      <c r="D46" s="5">
        <f t="shared" si="5"/>
        <v>0</v>
      </c>
      <c r="E46" s="5">
        <f t="shared" si="6"/>
        <v>0</v>
      </c>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
  <sheetViews>
    <sheetView workbookViewId="0">
      <selection activeCell="C11" sqref="C11"/>
    </sheetView>
  </sheetViews>
  <sheetFormatPr defaultRowHeight="12.75" x14ac:dyDescent="0.2"/>
  <cols>
    <col min="1" max="1" width="6.42578125" bestFit="1" customWidth="1"/>
    <col min="2" max="2" width="8.28515625" bestFit="1" customWidth="1"/>
    <col min="3" max="3" width="16.28515625" bestFit="1" customWidth="1"/>
    <col min="4" max="4" width="4.28515625" bestFit="1" customWidth="1"/>
    <col min="5" max="5" width="4.85546875" bestFit="1" customWidth="1"/>
    <col min="15" max="15" width="5.85546875" bestFit="1" customWidth="1"/>
    <col min="16" max="16" width="7.7109375" bestFit="1" customWidth="1"/>
    <col min="17" max="17" width="14.85546875" bestFit="1" customWidth="1"/>
  </cols>
  <sheetData>
    <row r="1" spans="1:5" x14ac:dyDescent="0.2">
      <c r="A1" s="97" t="s">
        <v>74</v>
      </c>
      <c r="B1" s="97"/>
      <c r="C1" s="97"/>
      <c r="D1" s="97"/>
      <c r="E1" s="97"/>
    </row>
    <row r="2" spans="1:5" s="87" customFormat="1" x14ac:dyDescent="0.2">
      <c r="A2" s="86" t="str">
        <f>'Velocity Chart'!A20</f>
        <v>Sprint</v>
      </c>
      <c r="B2" s="86" t="str">
        <f>'Velocity Chart'!B20</f>
        <v>Velocity</v>
      </c>
      <c r="C2" s="86" t="str">
        <f>'Velocity Chart'!C20</f>
        <v>Average</v>
      </c>
      <c r="D2" s="86" t="str">
        <f>'Velocity Chart'!D20</f>
        <v>Min</v>
      </c>
      <c r="E2" s="86" t="str">
        <f>'Velocity Chart'!E20</f>
        <v>Max</v>
      </c>
    </row>
    <row r="3" spans="1:5" x14ac:dyDescent="0.2">
      <c r="A3" s="8">
        <f>'Velocity Chart'!A21</f>
        <v>1</v>
      </c>
      <c r="B3" s="88">
        <f>'Velocity Chart'!B21</f>
        <v>0</v>
      </c>
      <c r="C3" s="88">
        <f>'Velocity Chart'!C21</f>
        <v>0</v>
      </c>
      <c r="D3" s="88">
        <f>'Velocity Chart'!D21</f>
        <v>0</v>
      </c>
      <c r="E3" s="88">
        <f>'Velocity Chart'!E21</f>
        <v>0</v>
      </c>
    </row>
    <row r="4" spans="1:5" x14ac:dyDescent="0.2">
      <c r="A4" s="8">
        <f>'Velocity Chart'!A22</f>
        <v>2</v>
      </c>
      <c r="B4" s="88">
        <f>'Velocity Chart'!B22</f>
        <v>0</v>
      </c>
      <c r="C4" s="88">
        <f>'Velocity Chart'!C22</f>
        <v>0</v>
      </c>
      <c r="D4" s="88">
        <f>'Velocity Chart'!D22</f>
        <v>0</v>
      </c>
      <c r="E4" s="88">
        <f>'Velocity Chart'!E22</f>
        <v>0</v>
      </c>
    </row>
    <row r="5" spans="1:5" x14ac:dyDescent="0.2">
      <c r="A5" s="8">
        <f>'Velocity Chart'!A23</f>
        <v>3</v>
      </c>
      <c r="B5" s="88">
        <f>'Velocity Chart'!B23</f>
        <v>0</v>
      </c>
      <c r="C5" s="88">
        <f>'Velocity Chart'!C23</f>
        <v>0</v>
      </c>
      <c r="D5" s="88">
        <f>'Velocity Chart'!D23</f>
        <v>0</v>
      </c>
      <c r="E5" s="88">
        <f>'Velocity Chart'!E23</f>
        <v>0</v>
      </c>
    </row>
    <row r="6" spans="1:5" x14ac:dyDescent="0.2">
      <c r="A6" s="8">
        <f>'Velocity Chart'!A24</f>
        <v>4</v>
      </c>
      <c r="B6" s="88">
        <f>'Velocity Chart'!B24</f>
        <v>0</v>
      </c>
      <c r="C6" s="88">
        <f>'Velocity Chart'!C24</f>
        <v>0</v>
      </c>
      <c r="D6" s="88">
        <f>'Velocity Chart'!D24</f>
        <v>0</v>
      </c>
      <c r="E6" s="88">
        <f>'Velocity Chart'!E24</f>
        <v>0</v>
      </c>
    </row>
    <row r="7" spans="1:5" x14ac:dyDescent="0.2">
      <c r="A7" s="8">
        <f>'Velocity Chart'!A25</f>
        <v>5</v>
      </c>
      <c r="B7" s="88">
        <f>'Velocity Chart'!B25</f>
        <v>0</v>
      </c>
      <c r="C7" s="88">
        <f>'Velocity Chart'!C25</f>
        <v>0</v>
      </c>
      <c r="D7" s="88">
        <f>'Velocity Chart'!D25</f>
        <v>0</v>
      </c>
      <c r="E7" s="88">
        <f>'Velocity Chart'!E25</f>
        <v>0</v>
      </c>
    </row>
    <row r="10" spans="1:5" x14ac:dyDescent="0.2">
      <c r="A10" s="8" t="str">
        <f>A2</f>
        <v>Sprint</v>
      </c>
      <c r="B10" s="8" t="s">
        <v>33</v>
      </c>
      <c r="C10" s="8" t="s">
        <v>42</v>
      </c>
    </row>
    <row r="11" spans="1:5" x14ac:dyDescent="0.2">
      <c r="A11" s="8">
        <v>0</v>
      </c>
      <c r="B11" s="85">
        <v>0</v>
      </c>
      <c r="C11" s="85" t="e">
        <f>'Acceptance Tests'!#REF!</f>
        <v>#REF!</v>
      </c>
    </row>
    <row r="12" spans="1:5" x14ac:dyDescent="0.2">
      <c r="A12" s="8">
        <f>A3</f>
        <v>1</v>
      </c>
      <c r="B12" s="85">
        <f>IF(B3&gt;0,B3,0)</f>
        <v>0</v>
      </c>
      <c r="C12" s="85" t="e">
        <f>C11-B12</f>
        <v>#REF!</v>
      </c>
    </row>
    <row r="13" spans="1:5" x14ac:dyDescent="0.2">
      <c r="A13" s="8">
        <f>A4</f>
        <v>2</v>
      </c>
      <c r="B13" s="85">
        <f>IF(B4&gt;0,B4,B12)</f>
        <v>0</v>
      </c>
      <c r="C13" s="85" t="e">
        <f>C12-B13</f>
        <v>#REF!</v>
      </c>
    </row>
    <row r="14" spans="1:5" x14ac:dyDescent="0.2">
      <c r="A14" s="8">
        <f>A5</f>
        <v>3</v>
      </c>
      <c r="B14" s="85">
        <f>IF(B5&gt;0,B5,(B12+B13)/2)</f>
        <v>0</v>
      </c>
      <c r="C14" s="85" t="e">
        <f>C13-B14</f>
        <v>#REF!</v>
      </c>
    </row>
    <row r="15" spans="1:5" x14ac:dyDescent="0.2">
      <c r="A15" s="8">
        <f>A6</f>
        <v>4</v>
      </c>
      <c r="B15" s="85">
        <f>IF(B6&gt;0,B6,(B12+B13+B14)/3)</f>
        <v>0</v>
      </c>
      <c r="C15" s="85" t="e">
        <f>C14-B15</f>
        <v>#REF!</v>
      </c>
    </row>
    <row r="16" spans="1:5" x14ac:dyDescent="0.2">
      <c r="A16" s="8">
        <f>A7</f>
        <v>5</v>
      </c>
      <c r="B16" s="85">
        <f>IF(B7&gt;0,B7,(B13+B14+B15)/3)</f>
        <v>0</v>
      </c>
      <c r="C16" s="85" t="e">
        <f>C15-B16</f>
        <v>#REF!</v>
      </c>
    </row>
  </sheetData>
  <mergeCells count="1">
    <mergeCell ref="A1:E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H17"/>
  <sheetViews>
    <sheetView workbookViewId="0">
      <selection activeCell="C4" sqref="C4"/>
    </sheetView>
  </sheetViews>
  <sheetFormatPr defaultColWidth="8.5703125" defaultRowHeight="12.75" x14ac:dyDescent="0.2"/>
  <cols>
    <col min="2" max="2" width="22.42578125" customWidth="1"/>
    <col min="3" max="3" width="14.140625" bestFit="1" customWidth="1"/>
  </cols>
  <sheetData>
    <row r="3" spans="2:8" ht="19.5" x14ac:dyDescent="0.2">
      <c r="B3" s="7" t="s">
        <v>40</v>
      </c>
      <c r="C3" s="3">
        <v>1</v>
      </c>
    </row>
    <row r="4" spans="2:8" ht="19.5" x14ac:dyDescent="0.2">
      <c r="B4" s="7" t="s">
        <v>41</v>
      </c>
      <c r="C4" s="4">
        <f>VLOOKUP($C$3,Tasks!$G$31:$AE$35,COLUMN(Tasks!$AE$31)-COLUMN(Tasks!$G$31)+1,FALSE)</f>
        <v>5</v>
      </c>
    </row>
    <row r="5" spans="2:8" ht="19.5" x14ac:dyDescent="0.2">
      <c r="B5" s="7"/>
      <c r="H5" s="2"/>
    </row>
    <row r="6" spans="2:8" ht="19.5" x14ac:dyDescent="0.2">
      <c r="B6" s="7" t="s">
        <v>73</v>
      </c>
      <c r="C6" s="7">
        <v>0</v>
      </c>
      <c r="D6" s="7">
        <v>1</v>
      </c>
      <c r="E6" s="7">
        <v>2</v>
      </c>
      <c r="F6" s="7">
        <v>3</v>
      </c>
      <c r="G6" s="7">
        <v>4</v>
      </c>
      <c r="H6" s="7">
        <v>5</v>
      </c>
    </row>
    <row r="7" spans="2:8" ht="19.5" x14ac:dyDescent="0.2">
      <c r="B7" s="7" t="str">
        <f>CONCATENATE("Sprint ",C3)</f>
        <v>Sprint 1</v>
      </c>
      <c r="C7" s="75">
        <f>VLOOKUP($C$3,Tasks!$G$31:$AE$35,COLUMN(Tasks!$P$31)-COLUMN(Tasks!$G$31)+1+C6,FALSE)</f>
        <v>0</v>
      </c>
      <c r="D7" s="75">
        <f>VLOOKUP($C$3,Tasks!$G$31:$AE$35,COLUMN(Tasks!$P$31)-COLUMN(Tasks!$G$31)+1+D6,FALSE)</f>
        <v>0</v>
      </c>
      <c r="E7" s="75">
        <f>VLOOKUP($C$3,Tasks!$G$31:$AE$35,COLUMN(Tasks!$P$31)-COLUMN(Tasks!$G$31)+1+E6,FALSE)</f>
        <v>0</v>
      </c>
      <c r="F7" s="75">
        <f>VLOOKUP($C$3,Tasks!$G$31:$AE$35,COLUMN(Tasks!$P$31)-COLUMN(Tasks!$G$31)+1+F6,FALSE)</f>
        <v>0</v>
      </c>
      <c r="G7" s="75">
        <f>VLOOKUP($C$3,Tasks!$G$31:$AE$35,COLUMN(Tasks!$P$31)-COLUMN(Tasks!$G$31)+1+G6,FALSE)</f>
        <v>0</v>
      </c>
      <c r="H7" s="75">
        <f>VLOOKUP($C$3,Tasks!$G$31:$AE$35,COLUMN(Tasks!$P$31)-COLUMN(Tasks!$G$31)+1+H6,FALSE)</f>
        <v>0</v>
      </c>
    </row>
    <row r="8" spans="2:8" ht="19.5" x14ac:dyDescent="0.2">
      <c r="B8" s="7" t="s">
        <v>29</v>
      </c>
      <c r="C8" s="75">
        <f>C7</f>
        <v>0</v>
      </c>
      <c r="D8" s="75">
        <f>$C8-$C8*D$6/$C$4</f>
        <v>0</v>
      </c>
      <c r="E8" s="75">
        <f>$C8-$C8*E$6/$C$4</f>
        <v>0</v>
      </c>
      <c r="F8" s="75">
        <f>$C8-$C8*F$6/$C$4</f>
        <v>0</v>
      </c>
      <c r="G8" s="75">
        <f>$C8-$C8*G$6/$C$4</f>
        <v>0</v>
      </c>
      <c r="H8" s="75">
        <f>$C8-$C8*H$6/$C$4</f>
        <v>0</v>
      </c>
    </row>
    <row r="12" spans="2:8" x14ac:dyDescent="0.2">
      <c r="B12" s="2"/>
    </row>
    <row r="13" spans="2:8" x14ac:dyDescent="0.2">
      <c r="B13" s="2"/>
    </row>
    <row r="14" spans="2:8" x14ac:dyDescent="0.2">
      <c r="B14" s="2"/>
    </row>
    <row r="15" spans="2:8" x14ac:dyDescent="0.2">
      <c r="B15" s="2"/>
    </row>
    <row r="16" spans="2:8" x14ac:dyDescent="0.2">
      <c r="B16" s="2"/>
    </row>
    <row r="17" spans="2:2" x14ac:dyDescent="0.2">
      <c r="B17" s="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B23" sqref="B23"/>
    </sheetView>
  </sheetViews>
  <sheetFormatPr defaultRowHeight="12.75" x14ac:dyDescent="0.2"/>
  <cols>
    <col min="1" max="1" width="19" customWidth="1"/>
    <col min="2" max="3" width="22.85546875" bestFit="1" customWidth="1"/>
    <col min="4" max="4" width="11.7109375" customWidth="1"/>
    <col min="5" max="5" width="12" customWidth="1"/>
  </cols>
  <sheetData>
    <row r="1" spans="1:5" x14ac:dyDescent="0.2">
      <c r="A1" s="1" t="s">
        <v>5</v>
      </c>
      <c r="B1" s="1" t="s">
        <v>45</v>
      </c>
      <c r="C1" s="1" t="s">
        <v>81</v>
      </c>
      <c r="D1" s="1"/>
      <c r="E1" s="1"/>
    </row>
    <row r="2" spans="1:5" x14ac:dyDescent="0.2">
      <c r="A2" s="2" t="s">
        <v>36</v>
      </c>
      <c r="B2" s="2" t="s">
        <v>87</v>
      </c>
      <c r="C2" s="2" t="s">
        <v>82</v>
      </c>
      <c r="D2" s="1"/>
      <c r="E2" s="1"/>
    </row>
    <row r="3" spans="1:5" x14ac:dyDescent="0.2">
      <c r="A3" t="s">
        <v>6</v>
      </c>
      <c r="B3" s="2" t="s">
        <v>88</v>
      </c>
      <c r="C3" s="2" t="s">
        <v>83</v>
      </c>
    </row>
    <row r="4" spans="1:5" x14ac:dyDescent="0.2">
      <c r="A4" s="2" t="s">
        <v>38</v>
      </c>
      <c r="B4" s="2" t="s">
        <v>89</v>
      </c>
    </row>
    <row r="5" spans="1:5" x14ac:dyDescent="0.2">
      <c r="A5" s="2" t="s">
        <v>37</v>
      </c>
    </row>
  </sheetData>
  <phoneticPr fontId="0"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663"/>
  <sheetViews>
    <sheetView workbookViewId="0">
      <selection activeCell="A690" sqref="A690"/>
    </sheetView>
  </sheetViews>
  <sheetFormatPr defaultRowHeight="12.75" x14ac:dyDescent="0.2"/>
  <sheetData>
    <row r="1" spans="1:1" x14ac:dyDescent="0.2">
      <c r="A1" s="1"/>
    </row>
    <row r="30" spans="1:1" x14ac:dyDescent="0.2">
      <c r="A30" s="1"/>
    </row>
    <row r="92" spans="1:1" x14ac:dyDescent="0.2">
      <c r="A92" s="1"/>
    </row>
    <row r="120" spans="1:1" x14ac:dyDescent="0.2">
      <c r="A120" s="1"/>
    </row>
    <row r="139" spans="1:1" x14ac:dyDescent="0.2">
      <c r="A139" s="1"/>
    </row>
    <row r="164" spans="1:1" x14ac:dyDescent="0.2">
      <c r="A164" s="1"/>
    </row>
    <row r="251" spans="1:1" x14ac:dyDescent="0.2">
      <c r="A251">
        <v>21.2</v>
      </c>
    </row>
    <row r="334" spans="1:1" x14ac:dyDescent="0.2">
      <c r="A334">
        <v>48.1</v>
      </c>
    </row>
    <row r="340" spans="1:1" x14ac:dyDescent="0.2">
      <c r="A340" t="s">
        <v>9</v>
      </c>
    </row>
    <row r="393" spans="1:1" x14ac:dyDescent="0.2">
      <c r="A393" t="s">
        <v>10</v>
      </c>
    </row>
    <row r="491" spans="1:1" x14ac:dyDescent="0.2">
      <c r="A491" t="s">
        <v>11</v>
      </c>
    </row>
    <row r="602" spans="1:1" x14ac:dyDescent="0.2">
      <c r="A602" t="s">
        <v>12</v>
      </c>
    </row>
    <row r="632" spans="1:1" x14ac:dyDescent="0.2">
      <c r="A632" t="s">
        <v>13</v>
      </c>
    </row>
    <row r="663" spans="1:1" x14ac:dyDescent="0.2">
      <c r="A663" t="s">
        <v>14</v>
      </c>
    </row>
  </sheetData>
  <phoneticPr fontId="0" type="noConversion"/>
  <pageMargins left="0.75" right="0.75" top="1" bottom="1" header="0.5" footer="0.5"/>
  <pageSetup paperSize="9" orientation="portrait" horizontalDpi="4294967294"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4D1A8099B9FAF4F90D3449D11C66F62" ma:contentTypeVersion="1" ma:contentTypeDescription="Create a new document." ma:contentTypeScope="" ma:versionID="aedc46fda39b73d363aaf3fe020cc957">
  <xsd:schema xmlns:xsd="http://www.w3.org/2001/XMLSchema" xmlns:xs="http://www.w3.org/2001/XMLSchema" xmlns:p="http://schemas.microsoft.com/office/2006/metadata/properties" xmlns:ns2="4584ecdd-8efe-4ff9-89f0-63d30ac58206" targetNamespace="http://schemas.microsoft.com/office/2006/metadata/properties" ma:root="true" ma:fieldsID="cdb409e031d95a7ce61e3ef1b9c76084" ns2:_="">
    <xsd:import namespace="4584ecdd-8efe-4ff9-89f0-63d30ac58206"/>
    <xsd:element name="properties">
      <xsd:complexType>
        <xsd:sequence>
          <xsd:element name="documentManagement">
            <xsd:complexType>
              <xsd:all>
                <xsd:element ref="ns2:Title_x0020_2"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84ecdd-8efe-4ff9-89f0-63d30ac58206" elementFormDefault="qualified">
    <xsd:import namespace="http://schemas.microsoft.com/office/2006/documentManagement/types"/>
    <xsd:import namespace="http://schemas.microsoft.com/office/infopath/2007/PartnerControls"/>
    <xsd:element name="Title_x0020_2" ma:index="8" nillable="true" ma:displayName="Title 2" ma:internalName="Title_x0020_2">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itle_x0020_2 xmlns="4584ecdd-8efe-4ff9-89f0-63d30ac58206" xsi:nil="true"/>
  </documentManagement>
</p:properties>
</file>

<file path=customXml/itemProps1.xml><?xml version="1.0" encoding="utf-8"?>
<ds:datastoreItem xmlns:ds="http://schemas.openxmlformats.org/officeDocument/2006/customXml" ds:itemID="{A49765A1-317A-439A-9E4B-54034F5B5F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84ecdd-8efe-4ff9-89f0-63d30ac582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B0D9967-2E5C-441A-A6BF-A33052F082F6}">
  <ds:schemaRefs>
    <ds:schemaRef ds:uri="http://schemas.microsoft.com/sharepoint/v3/contenttype/forms"/>
  </ds:schemaRefs>
</ds:datastoreItem>
</file>

<file path=customXml/itemProps3.xml><?xml version="1.0" encoding="utf-8"?>
<ds:datastoreItem xmlns:ds="http://schemas.openxmlformats.org/officeDocument/2006/customXml" ds:itemID="{F7A39F58-A1CE-42F9-9A4A-41CF67BB89BB}">
  <ds:schemaRefs>
    <ds:schemaRef ds:uri="http://purl.org/dc/elements/1.1/"/>
    <ds:schemaRef ds:uri="4584ecdd-8efe-4ff9-89f0-63d30ac58206"/>
    <ds:schemaRef ds:uri="http://schemas.microsoft.com/office/2006/documentManagement/types"/>
    <ds:schemaRef ds:uri="http://purl.org/dc/dcmitype/"/>
    <ds:schemaRef ds:uri="http://schemas.openxmlformats.org/package/2006/metadata/core-properties"/>
    <ds:schemaRef ds:uri="http://purl.org/dc/terms/"/>
    <ds:schemaRef ds:uri="http://schemas.microsoft.com/office/2006/metadata/properties"/>
    <ds:schemaRef ds:uri="http://www.w3.org/XML/1998/namespac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Acceptance Tests</vt:lpstr>
      <vt:lpstr>Terms</vt:lpstr>
      <vt:lpstr>Simple Read Only PBL</vt:lpstr>
      <vt:lpstr>Tasks</vt:lpstr>
      <vt:lpstr>Velocity Chart</vt:lpstr>
      <vt:lpstr>Backlog Burndown Chart</vt:lpstr>
      <vt:lpstr>Sprint Burndown Chart</vt:lpstr>
      <vt:lpstr>Parameters</vt:lpstr>
      <vt:lpstr>Error Images</vt:lpstr>
    </vt:vector>
  </TitlesOfParts>
  <Company>OMS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 documentation</dc:title>
  <dc:creator>S29591</dc:creator>
  <cp:lastModifiedBy>Lövdinger Per</cp:lastModifiedBy>
  <cp:lastPrinted>2013-09-24T13:44:04Z</cp:lastPrinted>
  <dcterms:created xsi:type="dcterms:W3CDTF">2002-02-22T13:58:39Z</dcterms:created>
  <dcterms:modified xsi:type="dcterms:W3CDTF">2017-02-08T15:26:16Z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0x010100F4D1A8099B9FAF4F90D3449D11C66F62</vt:lpwstr>
  </property>
  <property fmtid="{D5CDD505-2E9C-101B-9397-08002B2CF9AE}" pid="3" name="Order">
    <vt:r8>109100</vt:r8>
  </property>
</Properties>
</file>