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0305" yWindow="-15" windowWidth="10200" windowHeight="8175"/>
  </bookViews>
  <sheets>
    <sheet name="Acceptance Tests" sheetId="9" r:id="rId1"/>
    <sheet name="Simple Read Only PBL" sheetId="17" r:id="rId2"/>
    <sheet name="Tasks" sheetId="10" r:id="rId3"/>
    <sheet name="Velocity Chart" sheetId="14" r:id="rId4"/>
    <sheet name="Backlog Burndown Chart" sheetId="19" r:id="rId5"/>
    <sheet name="Sprint Burndown Chart" sheetId="15" r:id="rId6"/>
    <sheet name="Parameters" sheetId="2" r:id="rId7"/>
    <sheet name="Error Images" sheetId="3" r:id="rId8"/>
  </sheets>
  <definedNames>
    <definedName name="_xlnm._FilterDatabase" localSheetId="0" hidden="1">'Acceptance Tests'!$A$5:$AQ$38</definedName>
    <definedName name="_xlnm._FilterDatabase" localSheetId="2" hidden="1">Tasks!$B$3:$AC$35</definedName>
  </definedNames>
  <calcPr calcId="145621"/>
</workbook>
</file>

<file path=xl/calcChain.xml><?xml version="1.0" encoding="utf-8"?>
<calcChain xmlns="http://schemas.openxmlformats.org/spreadsheetml/2006/main">
  <c r="D7" i="9" l="1"/>
  <c r="V42" i="9" l="1"/>
  <c r="V43" i="9"/>
  <c r="V44" i="9"/>
  <c r="V45" i="9"/>
  <c r="V41" i="9"/>
  <c r="V37" i="9"/>
  <c r="V35" i="9"/>
  <c r="V34" i="9"/>
  <c r="V33" i="9"/>
  <c r="V36" i="9" l="1"/>
  <c r="V38" i="9" s="1"/>
  <c r="D8" i="9" l="1"/>
  <c r="D9" i="9"/>
  <c r="D10" i="9"/>
  <c r="D11" i="9"/>
  <c r="D12" i="9"/>
  <c r="D13" i="9"/>
  <c r="D14" i="9"/>
  <c r="D15" i="9"/>
  <c r="D16" i="9"/>
  <c r="D17" i="9"/>
  <c r="D18" i="9"/>
  <c r="D19" i="9"/>
  <c r="D20" i="9"/>
  <c r="D21" i="9"/>
  <c r="D22" i="9"/>
  <c r="D23" i="9"/>
  <c r="D24" i="9"/>
  <c r="D25" i="9"/>
  <c r="D26" i="9"/>
  <c r="D27" i="9"/>
  <c r="D28" i="9"/>
  <c r="D29" i="9"/>
  <c r="D30" i="9"/>
  <c r="D31" i="9"/>
  <c r="D32" i="9"/>
  <c r="W45" i="9" l="1"/>
  <c r="X45" i="9" s="1"/>
  <c r="S45" i="9"/>
  <c r="R45" i="9"/>
  <c r="Q45" i="9"/>
  <c r="P45" i="9"/>
  <c r="W44" i="9"/>
  <c r="X44" i="9" s="1"/>
  <c r="S44" i="9"/>
  <c r="R44" i="9"/>
  <c r="Q44" i="9"/>
  <c r="P44" i="9"/>
  <c r="W43" i="9"/>
  <c r="X43" i="9" s="1"/>
  <c r="S43" i="9"/>
  <c r="R43" i="9"/>
  <c r="Q43" i="9"/>
  <c r="P43" i="9"/>
  <c r="W42" i="9"/>
  <c r="X42" i="9" s="1"/>
  <c r="S42" i="9"/>
  <c r="R42" i="9"/>
  <c r="Q42" i="9"/>
  <c r="P42" i="9"/>
  <c r="W41" i="9"/>
  <c r="X41" i="9" s="1"/>
  <c r="S41" i="9"/>
  <c r="R41" i="9"/>
  <c r="Q41" i="9"/>
  <c r="P41" i="9"/>
  <c r="U45" i="9" l="1"/>
  <c r="Z45" i="9" s="1"/>
  <c r="U44" i="9"/>
  <c r="Y44" i="9" s="1"/>
  <c r="U42" i="9"/>
  <c r="Z42" i="9" s="1"/>
  <c r="U43" i="9"/>
  <c r="AD43" i="9" s="1"/>
  <c r="U41" i="9"/>
  <c r="Y41" i="9" s="1"/>
  <c r="AD45" i="9"/>
  <c r="R4" i="10"/>
  <c r="S4" i="10"/>
  <c r="T4" i="10"/>
  <c r="U4" i="10"/>
  <c r="R5" i="10"/>
  <c r="S5" i="10"/>
  <c r="T5" i="10"/>
  <c r="U5" i="10"/>
  <c r="R6" i="10"/>
  <c r="S6" i="10"/>
  <c r="T6" i="10"/>
  <c r="U6" i="10"/>
  <c r="R7" i="10"/>
  <c r="S7" i="10"/>
  <c r="T7" i="10"/>
  <c r="U7" i="10"/>
  <c r="R8" i="10"/>
  <c r="S8" i="10"/>
  <c r="T8" i="10"/>
  <c r="U8" i="10"/>
  <c r="R9" i="10"/>
  <c r="S9" i="10"/>
  <c r="T9" i="10"/>
  <c r="U9" i="10"/>
  <c r="R10" i="10"/>
  <c r="S10" i="10"/>
  <c r="T10" i="10"/>
  <c r="U10" i="10"/>
  <c r="R11" i="10"/>
  <c r="S11" i="10"/>
  <c r="T11" i="10"/>
  <c r="U11" i="10"/>
  <c r="R12" i="10"/>
  <c r="S12" i="10"/>
  <c r="T12" i="10"/>
  <c r="U12" i="10"/>
  <c r="R13" i="10"/>
  <c r="S13" i="10"/>
  <c r="T13" i="10"/>
  <c r="U13" i="10"/>
  <c r="R14" i="10"/>
  <c r="S14" i="10"/>
  <c r="T14" i="10"/>
  <c r="U14" i="10"/>
  <c r="R15" i="10"/>
  <c r="S15" i="10"/>
  <c r="T15" i="10"/>
  <c r="U15" i="10"/>
  <c r="R16" i="10"/>
  <c r="S16" i="10"/>
  <c r="T16" i="10"/>
  <c r="U16" i="10"/>
  <c r="R17" i="10"/>
  <c r="S17" i="10"/>
  <c r="T17" i="10"/>
  <c r="U17" i="10"/>
  <c r="R18" i="10"/>
  <c r="S18" i="10"/>
  <c r="T18" i="10"/>
  <c r="U18" i="10"/>
  <c r="R19" i="10"/>
  <c r="S19" i="10"/>
  <c r="T19" i="10"/>
  <c r="U19" i="10"/>
  <c r="R20" i="10"/>
  <c r="S20" i="10"/>
  <c r="T20" i="10"/>
  <c r="U20" i="10"/>
  <c r="R21" i="10"/>
  <c r="S21" i="10"/>
  <c r="T21" i="10"/>
  <c r="U21" i="10"/>
  <c r="R22" i="10"/>
  <c r="S22" i="10"/>
  <c r="T22" i="10"/>
  <c r="U22" i="10"/>
  <c r="R23" i="10"/>
  <c r="S23" i="10"/>
  <c r="T23" i="10"/>
  <c r="U23" i="10"/>
  <c r="R24" i="10"/>
  <c r="S24" i="10"/>
  <c r="T24" i="10"/>
  <c r="U24" i="10"/>
  <c r="R25" i="10"/>
  <c r="S25" i="10"/>
  <c r="T25" i="10"/>
  <c r="U25" i="10"/>
  <c r="R26" i="10"/>
  <c r="S26" i="10"/>
  <c r="T26" i="10"/>
  <c r="U26" i="10"/>
  <c r="R27" i="10"/>
  <c r="S27" i="10"/>
  <c r="T27" i="10"/>
  <c r="U27" i="10"/>
  <c r="R28" i="10"/>
  <c r="S28" i="10"/>
  <c r="T28" i="10"/>
  <c r="U28" i="10"/>
  <c r="R29" i="10"/>
  <c r="S29" i="10"/>
  <c r="T29" i="10"/>
  <c r="U29" i="10"/>
  <c r="R30" i="10"/>
  <c r="S30" i="10"/>
  <c r="T30" i="10"/>
  <c r="U30"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Z44" i="9" l="1"/>
  <c r="Y45" i="9"/>
  <c r="Y42" i="9"/>
  <c r="Y43" i="9"/>
  <c r="AD42" i="9"/>
  <c r="AD41" i="9"/>
  <c r="Z41" i="9"/>
  <c r="Z43" i="9"/>
  <c r="AD44" i="9"/>
  <c r="B23" i="14"/>
  <c r="B24" i="14"/>
  <c r="B25" i="14"/>
  <c r="I34" i="17"/>
  <c r="C4" i="15"/>
  <c r="B43" i="14"/>
  <c r="B44" i="14"/>
  <c r="B45" i="14"/>
  <c r="B46" i="14"/>
  <c r="B42" i="14"/>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4" i="10"/>
  <c r="AE4" i="10" s="1"/>
  <c r="C17" i="10"/>
  <c r="C18" i="10"/>
  <c r="C19" i="10"/>
  <c r="C20" i="10"/>
  <c r="C21" i="10"/>
  <c r="C22" i="10"/>
  <c r="C23" i="10"/>
  <c r="C24" i="10"/>
  <c r="C25" i="10"/>
  <c r="C26" i="10"/>
  <c r="C27" i="10"/>
  <c r="C28" i="10"/>
  <c r="C29" i="10"/>
  <c r="C30" i="10"/>
  <c r="AE26" i="10" l="1"/>
  <c r="W26" i="10" s="1"/>
  <c r="AE22" i="10"/>
  <c r="W22" i="10" s="1"/>
  <c r="AE14" i="10"/>
  <c r="W14" i="10" s="1"/>
  <c r="AE10" i="10"/>
  <c r="W10" i="10" s="1"/>
  <c r="AE6" i="10"/>
  <c r="W6" i="10" s="1"/>
  <c r="AE29" i="10"/>
  <c r="W29" i="10" s="1"/>
  <c r="AE21" i="10"/>
  <c r="W21" i="10" s="1"/>
  <c r="AE17" i="10"/>
  <c r="W17" i="10" s="1"/>
  <c r="AE13" i="10"/>
  <c r="W13" i="10" s="1"/>
  <c r="AE9" i="10"/>
  <c r="W9" i="10" s="1"/>
  <c r="AE5" i="10"/>
  <c r="W5" i="10" s="1"/>
  <c r="AE28" i="10"/>
  <c r="W28" i="10" s="1"/>
  <c r="AE24" i="10"/>
  <c r="W24" i="10" s="1"/>
  <c r="AE20" i="10"/>
  <c r="W20" i="10" s="1"/>
  <c r="AE16" i="10"/>
  <c r="W16" i="10" s="1"/>
  <c r="AE12" i="10"/>
  <c r="W12" i="10" s="1"/>
  <c r="AE8" i="10"/>
  <c r="W8" i="10" s="1"/>
  <c r="AE30" i="10"/>
  <c r="W30" i="10" s="1"/>
  <c r="AE18" i="10"/>
  <c r="W18" i="10" s="1"/>
  <c r="AE25" i="10"/>
  <c r="W25" i="10" s="1"/>
  <c r="AE27" i="10"/>
  <c r="W27" i="10" s="1"/>
  <c r="AE23" i="10"/>
  <c r="W23" i="10" s="1"/>
  <c r="AE19" i="10"/>
  <c r="W19" i="10" s="1"/>
  <c r="AE15" i="10"/>
  <c r="W15" i="10" s="1"/>
  <c r="AE11" i="10"/>
  <c r="W11" i="10" s="1"/>
  <c r="AE7" i="10"/>
  <c r="W7" i="10" s="1"/>
  <c r="D43" i="14"/>
  <c r="E44" i="14"/>
  <c r="E43" i="14"/>
  <c r="D42" i="14"/>
  <c r="D45" i="14"/>
  <c r="E46" i="14"/>
  <c r="D44" i="14"/>
  <c r="E45" i="14"/>
  <c r="C42" i="14"/>
  <c r="D46" i="14"/>
  <c r="E42" i="14"/>
  <c r="R37" i="9"/>
  <c r="V18" i="10" l="1"/>
  <c r="V24" i="10"/>
  <c r="V30" i="10"/>
  <c r="V16" i="10"/>
  <c r="V6" i="10"/>
  <c r="V14" i="10"/>
  <c r="V26" i="10"/>
  <c r="V10" i="10"/>
  <c r="V22" i="10"/>
  <c r="V7" i="10"/>
  <c r="V15" i="10"/>
  <c r="V23" i="10"/>
  <c r="V25" i="10"/>
  <c r="V12" i="10"/>
  <c r="V20" i="10"/>
  <c r="V28" i="10"/>
  <c r="V9" i="10"/>
  <c r="V17" i="10"/>
  <c r="V29" i="10"/>
  <c r="V11" i="10"/>
  <c r="V19" i="10"/>
  <c r="V27" i="10"/>
  <c r="V8" i="10"/>
  <c r="V5" i="10"/>
  <c r="V13" i="10"/>
  <c r="V21" i="10"/>
  <c r="L33" i="10"/>
  <c r="K32" i="10"/>
  <c r="L34" i="10"/>
  <c r="K33" i="10"/>
  <c r="L35" i="10"/>
  <c r="K34" i="10"/>
  <c r="L32" i="10"/>
  <c r="K35" i="10"/>
  <c r="R34" i="10"/>
  <c r="U34" i="10"/>
  <c r="Q34" i="10"/>
  <c r="T34" i="10"/>
  <c r="S34" i="10"/>
  <c r="S37" i="9" l="1"/>
  <c r="S35" i="9"/>
  <c r="S34" i="9"/>
  <c r="S33" i="9"/>
  <c r="R35" i="9"/>
  <c r="R34" i="9"/>
  <c r="R33" i="9"/>
  <c r="Q37" i="9"/>
  <c r="Q35" i="9"/>
  <c r="Q34" i="9"/>
  <c r="Q33" i="9"/>
  <c r="U33" i="9" l="1"/>
  <c r="A3" i="19"/>
  <c r="A4" i="19"/>
  <c r="A13" i="19" s="1"/>
  <c r="A5" i="19"/>
  <c r="A14" i="19" s="1"/>
  <c r="A6" i="19"/>
  <c r="A15" i="19" s="1"/>
  <c r="A7" i="19"/>
  <c r="A16" i="19" s="1"/>
  <c r="B2" i="19"/>
  <c r="C2" i="19"/>
  <c r="D2" i="19"/>
  <c r="E2" i="19"/>
  <c r="A2" i="19"/>
  <c r="A10" i="19" s="1"/>
  <c r="A12" i="19"/>
  <c r="F1" i="17" l="1"/>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1" i="17"/>
  <c r="A2" i="17"/>
  <c r="C2" i="17"/>
  <c r="D2" i="17"/>
  <c r="A3" i="17"/>
  <c r="C3" i="17"/>
  <c r="D3" i="17"/>
  <c r="A4" i="17"/>
  <c r="C4" i="17"/>
  <c r="D4" i="17"/>
  <c r="A5" i="17"/>
  <c r="C5" i="17"/>
  <c r="D5" i="17"/>
  <c r="A6" i="17"/>
  <c r="C6" i="17"/>
  <c r="D6" i="17"/>
  <c r="A7" i="17"/>
  <c r="C7" i="17"/>
  <c r="D7" i="17"/>
  <c r="A8" i="17"/>
  <c r="C8" i="17"/>
  <c r="D8" i="17"/>
  <c r="A9" i="17"/>
  <c r="C9" i="17"/>
  <c r="D9" i="17"/>
  <c r="A10" i="17"/>
  <c r="C10" i="17"/>
  <c r="D10" i="17"/>
  <c r="A11" i="17"/>
  <c r="C11" i="17"/>
  <c r="D11" i="17"/>
  <c r="A12" i="17"/>
  <c r="C12" i="17"/>
  <c r="D12" i="17"/>
  <c r="A13" i="17"/>
  <c r="C13" i="17"/>
  <c r="D13" i="17"/>
  <c r="A14" i="17"/>
  <c r="C14" i="17"/>
  <c r="D14" i="17"/>
  <c r="A15" i="17"/>
  <c r="C15" i="17"/>
  <c r="D15" i="17"/>
  <c r="A16" i="17"/>
  <c r="C16" i="17"/>
  <c r="D16" i="17"/>
  <c r="A17" i="17"/>
  <c r="C17" i="17"/>
  <c r="D17" i="17"/>
  <c r="A18" i="17"/>
  <c r="C18" i="17"/>
  <c r="D18" i="17"/>
  <c r="A19" i="17"/>
  <c r="C19" i="17"/>
  <c r="D19" i="17"/>
  <c r="A20" i="17"/>
  <c r="C20" i="17"/>
  <c r="D20" i="17"/>
  <c r="A21" i="17"/>
  <c r="C21" i="17"/>
  <c r="D21" i="17"/>
  <c r="A22" i="17"/>
  <c r="C22" i="17"/>
  <c r="D22" i="17"/>
  <c r="A23" i="17"/>
  <c r="C23" i="17"/>
  <c r="D23" i="17"/>
  <c r="A24" i="17"/>
  <c r="C24" i="17"/>
  <c r="D24" i="17"/>
  <c r="A25" i="17"/>
  <c r="C25" i="17"/>
  <c r="D25" i="17"/>
  <c r="A26" i="17"/>
  <c r="C26" i="17"/>
  <c r="D26" i="17"/>
  <c r="A27" i="17"/>
  <c r="C27" i="17"/>
  <c r="D27" i="17"/>
  <c r="A28" i="17"/>
  <c r="C28" i="17"/>
  <c r="D28" i="17"/>
  <c r="B1" i="17"/>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4" i="10"/>
  <c r="B6" i="17"/>
  <c r="B7" i="17"/>
  <c r="B8" i="17"/>
  <c r="B9" i="17"/>
  <c r="B10" i="17"/>
  <c r="B11" i="17"/>
  <c r="B12" i="17"/>
  <c r="B13" i="17"/>
  <c r="B14" i="17"/>
  <c r="B15" i="17"/>
  <c r="B16" i="17"/>
  <c r="B18" i="17"/>
  <c r="B17" i="17"/>
  <c r="B19" i="17"/>
  <c r="B20" i="17"/>
  <c r="B21" i="17"/>
  <c r="B23" i="17"/>
  <c r="B24" i="17"/>
  <c r="B25" i="17"/>
  <c r="B26" i="17"/>
  <c r="B27" i="17"/>
  <c r="B28" i="17"/>
  <c r="U21" i="9"/>
  <c r="V21" i="9" s="1"/>
  <c r="W21" i="9"/>
  <c r="X21" i="9" s="1"/>
  <c r="B5" i="17" l="1"/>
  <c r="B22" i="17"/>
  <c r="C16" i="10"/>
  <c r="C14" i="10"/>
  <c r="C15" i="10"/>
  <c r="C13" i="10"/>
  <c r="B4" i="17"/>
  <c r="C12" i="10"/>
  <c r="C11" i="10"/>
  <c r="C9" i="10"/>
  <c r="C10" i="10"/>
  <c r="C8" i="10"/>
  <c r="C5" i="10"/>
  <c r="C4" i="10"/>
  <c r="C6" i="10"/>
  <c r="C7" i="10"/>
  <c r="Z21" i="9"/>
  <c r="Y21" i="9"/>
  <c r="AD21" i="9"/>
  <c r="C1" i="17"/>
  <c r="D1" i="17"/>
  <c r="G1" i="17"/>
  <c r="H1" i="17"/>
  <c r="A1" i="17"/>
  <c r="H17" i="17" l="1"/>
  <c r="G17" i="17"/>
  <c r="U37" i="9"/>
  <c r="K4" i="10" l="1"/>
  <c r="U8" i="9" l="1"/>
  <c r="V8" i="9" s="1"/>
  <c r="W8" i="9"/>
  <c r="U9" i="9"/>
  <c r="V9" i="9" s="1"/>
  <c r="W9" i="9"/>
  <c r="U7" i="9"/>
  <c r="V7" i="9" s="1"/>
  <c r="W7" i="9"/>
  <c r="U6" i="9"/>
  <c r="W6" i="9"/>
  <c r="U10" i="9"/>
  <c r="V10" i="9" s="1"/>
  <c r="W10" i="9"/>
  <c r="U11" i="9"/>
  <c r="V11" i="9" s="1"/>
  <c r="W11" i="9"/>
  <c r="U12" i="9"/>
  <c r="V12" i="9" s="1"/>
  <c r="W12" i="9"/>
  <c r="U13" i="9"/>
  <c r="V13" i="9" s="1"/>
  <c r="W13" i="9"/>
  <c r="U14" i="9"/>
  <c r="V14" i="9" s="1"/>
  <c r="W14" i="9"/>
  <c r="U15" i="9"/>
  <c r="V15" i="9" s="1"/>
  <c r="W15" i="9"/>
  <c r="U16" i="9"/>
  <c r="V16" i="9" s="1"/>
  <c r="W16" i="9"/>
  <c r="U17" i="9"/>
  <c r="V17" i="9" s="1"/>
  <c r="W17" i="9"/>
  <c r="U18" i="9"/>
  <c r="V18" i="9" s="1"/>
  <c r="W18" i="9"/>
  <c r="U19" i="9"/>
  <c r="V19" i="9" s="1"/>
  <c r="W19" i="9"/>
  <c r="U20" i="9"/>
  <c r="V20" i="9" s="1"/>
  <c r="W20" i="9"/>
  <c r="U22" i="9"/>
  <c r="V22" i="9" s="1"/>
  <c r="W22" i="9"/>
  <c r="U23" i="9"/>
  <c r="V23" i="9" s="1"/>
  <c r="W23" i="9"/>
  <c r="U24" i="9"/>
  <c r="V24" i="9" s="1"/>
  <c r="W24" i="9"/>
  <c r="U25" i="9"/>
  <c r="V25" i="9" s="1"/>
  <c r="W25" i="9"/>
  <c r="U26" i="9"/>
  <c r="V26" i="9" s="1"/>
  <c r="W26" i="9"/>
  <c r="U27" i="9"/>
  <c r="V27" i="9" s="1"/>
  <c r="W27" i="9"/>
  <c r="U28" i="9"/>
  <c r="V28" i="9" s="1"/>
  <c r="W28" i="9"/>
  <c r="U29" i="9"/>
  <c r="V29" i="9" s="1"/>
  <c r="W29" i="9"/>
  <c r="U30" i="9"/>
  <c r="V30" i="9" s="1"/>
  <c r="W30" i="9"/>
  <c r="U31" i="9"/>
  <c r="V31" i="9" s="1"/>
  <c r="W31" i="9"/>
  <c r="U32" i="9"/>
  <c r="V32" i="9" s="1"/>
  <c r="W32" i="9"/>
  <c r="V6" i="9" l="1"/>
  <c r="AA6" i="9"/>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B22" i="14"/>
  <c r="B4" i="19" s="1"/>
  <c r="B21" i="14"/>
  <c r="B3" i="19" s="1"/>
  <c r="B12" i="19" s="1"/>
  <c r="AD27" i="9"/>
  <c r="X32" i="9"/>
  <c r="X28" i="9"/>
  <c r="X24" i="9"/>
  <c r="X22" i="9"/>
  <c r="X20" i="9"/>
  <c r="X18" i="9"/>
  <c r="X16" i="9"/>
  <c r="X14" i="9"/>
  <c r="X12" i="9"/>
  <c r="X7" i="9"/>
  <c r="X8" i="9"/>
  <c r="B5" i="19"/>
  <c r="X31" i="9"/>
  <c r="X29" i="9"/>
  <c r="X27" i="9"/>
  <c r="X25" i="9"/>
  <c r="X23" i="9"/>
  <c r="X19" i="9"/>
  <c r="X17" i="9"/>
  <c r="X15" i="9"/>
  <c r="X13" i="9"/>
  <c r="X11" i="9"/>
  <c r="X6" i="9"/>
  <c r="X9" i="9"/>
  <c r="B7" i="19"/>
  <c r="B6" i="19"/>
  <c r="AD10" i="9"/>
  <c r="AD22" i="9"/>
  <c r="AD26" i="9"/>
  <c r="AD12" i="9"/>
  <c r="AD11" i="9"/>
  <c r="S36" i="9"/>
  <c r="AD32" i="9"/>
  <c r="AD31" i="9"/>
  <c r="AD28" i="9"/>
  <c r="AD7" i="9"/>
  <c r="AD9" i="9"/>
  <c r="AD17" i="9"/>
  <c r="AD15" i="9"/>
  <c r="AD14" i="9"/>
  <c r="X10" i="9"/>
  <c r="X26" i="9"/>
  <c r="AD25" i="9"/>
  <c r="AD23" i="9"/>
  <c r="Q36" i="9"/>
  <c r="AD30" i="9"/>
  <c r="AD16" i="9"/>
  <c r="AD13" i="9"/>
  <c r="AD6" i="9"/>
  <c r="U34" i="9"/>
  <c r="AD19" i="9"/>
  <c r="AD18" i="9"/>
  <c r="AD29" i="9"/>
  <c r="X30" i="9"/>
  <c r="W37" i="9" s="1"/>
  <c r="AD24" i="9"/>
  <c r="AD20" i="9"/>
  <c r="AD8" i="9"/>
  <c r="U35" i="9"/>
  <c r="R36" i="9"/>
  <c r="AB7" i="9" l="1"/>
  <c r="AB11" i="9"/>
  <c r="AB15" i="9"/>
  <c r="AB19" i="9"/>
  <c r="AB23" i="9"/>
  <c r="AB27" i="9"/>
  <c r="AB31" i="9"/>
  <c r="AB12" i="9"/>
  <c r="AB16" i="9"/>
  <c r="AB20" i="9"/>
  <c r="AB28" i="9"/>
  <c r="AB9" i="9"/>
  <c r="AB17" i="9"/>
  <c r="AB25" i="9"/>
  <c r="AB6" i="9"/>
  <c r="AB14" i="9"/>
  <c r="AB22" i="9"/>
  <c r="AB30" i="9"/>
  <c r="AB8" i="9"/>
  <c r="AB24" i="9"/>
  <c r="AB32" i="9"/>
  <c r="AB13" i="9"/>
  <c r="AB21" i="9"/>
  <c r="AB29" i="9"/>
  <c r="AB10" i="9"/>
  <c r="AB18" i="9"/>
  <c r="AB26" i="9"/>
  <c r="B13" i="19"/>
  <c r="E22" i="14"/>
  <c r="D23" i="14"/>
  <c r="C24" i="14"/>
  <c r="D21" i="14"/>
  <c r="D25" i="14"/>
  <c r="D24" i="14"/>
  <c r="E21" i="14"/>
  <c r="D22" i="14"/>
  <c r="C21" i="14"/>
  <c r="C25" i="14"/>
  <c r="C23" i="14"/>
  <c r="C22" i="14"/>
  <c r="E25" i="14"/>
  <c r="E24" i="14"/>
  <c r="E23" i="14"/>
  <c r="B14" i="19"/>
  <c r="B15" i="19" s="1"/>
  <c r="AD37" i="9"/>
  <c r="I32" i="17" s="1"/>
  <c r="X37" i="9"/>
  <c r="W35" i="9"/>
  <c r="AD35" i="9" s="1"/>
  <c r="I30" i="17" s="1"/>
  <c r="W33" i="9"/>
  <c r="AD33" i="9" s="1"/>
  <c r="W34" i="9"/>
  <c r="AD34" i="9" s="1"/>
  <c r="I29" i="17" s="1"/>
  <c r="AE30" i="9"/>
  <c r="AE19" i="9"/>
  <c r="AE32" i="9"/>
  <c r="Z11" i="9"/>
  <c r="H7" i="17" s="1"/>
  <c r="AE11" i="9"/>
  <c r="AE29" i="9"/>
  <c r="AE7" i="9"/>
  <c r="AE18" i="9"/>
  <c r="AE26" i="9"/>
  <c r="AE13" i="9"/>
  <c r="AE23" i="9"/>
  <c r="Y31" i="9"/>
  <c r="G27" i="17" s="1"/>
  <c r="AE31" i="9"/>
  <c r="AE12" i="9"/>
  <c r="AE20" i="9"/>
  <c r="AE9" i="9"/>
  <c r="Y25" i="9"/>
  <c r="G21" i="17" s="1"/>
  <c r="AE25" i="9"/>
  <c r="AE10" i="9"/>
  <c r="AE6" i="9"/>
  <c r="AE17" i="9"/>
  <c r="AE27" i="9"/>
  <c r="AE8" i="9"/>
  <c r="Z16" i="9"/>
  <c r="H12" i="17" s="1"/>
  <c r="AE16" i="9"/>
  <c r="AE21" i="9"/>
  <c r="AE24" i="9"/>
  <c r="AE28" i="9"/>
  <c r="AE15" i="9"/>
  <c r="AE14" i="9"/>
  <c r="AE22" i="9"/>
  <c r="Z25" i="9"/>
  <c r="H21" i="17" s="1"/>
  <c r="Z31" i="9"/>
  <c r="H27" i="17" s="1"/>
  <c r="Y13" i="9"/>
  <c r="G9" i="17" s="1"/>
  <c r="Y19" i="9"/>
  <c r="G15" i="17" s="1"/>
  <c r="Z23" i="9"/>
  <c r="H19" i="17" s="1"/>
  <c r="Z22" i="9"/>
  <c r="H18" i="17" s="1"/>
  <c r="Z12" i="9"/>
  <c r="H8" i="17" s="1"/>
  <c r="Y16" i="9"/>
  <c r="G12" i="17" s="1"/>
  <c r="Y12" i="9"/>
  <c r="G8" i="17" s="1"/>
  <c r="Y14" i="9"/>
  <c r="G10" i="17" s="1"/>
  <c r="Y22" i="9"/>
  <c r="G18" i="17" s="1"/>
  <c r="Y28" i="9"/>
  <c r="G24" i="17" s="1"/>
  <c r="Z14" i="9"/>
  <c r="H10" i="17" s="1"/>
  <c r="Z24" i="9"/>
  <c r="H20" i="17" s="1"/>
  <c r="Y8" i="9"/>
  <c r="Y24" i="9"/>
  <c r="G20" i="17" s="1"/>
  <c r="Z8" i="9"/>
  <c r="Z20" i="9"/>
  <c r="H16" i="17" s="1"/>
  <c r="Y20" i="9"/>
  <c r="G16" i="17" s="1"/>
  <c r="Y32" i="9"/>
  <c r="G28" i="17" s="1"/>
  <c r="Z32" i="9"/>
  <c r="H28" i="17" s="1"/>
  <c r="Z29" i="9"/>
  <c r="H25" i="17" s="1"/>
  <c r="Y6" i="9"/>
  <c r="Z17" i="9"/>
  <c r="H13" i="17" s="1"/>
  <c r="Z13" i="9"/>
  <c r="H9" i="17" s="1"/>
  <c r="Y23" i="9"/>
  <c r="G19" i="17" s="1"/>
  <c r="Z15" i="9"/>
  <c r="H11" i="17" s="1"/>
  <c r="Y11" i="9"/>
  <c r="G7" i="17" s="1"/>
  <c r="Z6" i="9"/>
  <c r="Y29" i="9"/>
  <c r="G25" i="17" s="1"/>
  <c r="Y17" i="9"/>
  <c r="G13" i="17" s="1"/>
  <c r="Y26" i="9"/>
  <c r="G22" i="17" s="1"/>
  <c r="Z7" i="9"/>
  <c r="Z18" i="9"/>
  <c r="H14" i="17" s="1"/>
  <c r="Z28" i="9"/>
  <c r="H24" i="17" s="1"/>
  <c r="Z9" i="9"/>
  <c r="Z27" i="9"/>
  <c r="H23" i="17" s="1"/>
  <c r="Y30" i="9"/>
  <c r="G26" i="17" s="1"/>
  <c r="Z19" i="9"/>
  <c r="H15" i="17" s="1"/>
  <c r="Y9" i="9"/>
  <c r="Y15" i="9"/>
  <c r="G11" i="17" s="1"/>
  <c r="Y27" i="9"/>
  <c r="G23" i="17" s="1"/>
  <c r="Y18" i="9"/>
  <c r="G14" i="17" s="1"/>
  <c r="Y10" i="9"/>
  <c r="G6" i="17" s="1"/>
  <c r="Y7" i="9"/>
  <c r="Z10" i="9"/>
  <c r="H6" i="17" s="1"/>
  <c r="Z30" i="9"/>
  <c r="H26" i="17" s="1"/>
  <c r="Z26" i="9"/>
  <c r="H22" i="17" s="1"/>
  <c r="U36" i="9"/>
  <c r="C43" i="14"/>
  <c r="C44" i="14"/>
  <c r="C45" i="14"/>
  <c r="C46" i="14"/>
  <c r="B7" i="15"/>
  <c r="G3" i="17" l="1"/>
  <c r="H3" i="17"/>
  <c r="G5" i="17"/>
  <c r="H5" i="17"/>
  <c r="X34" i="9"/>
  <c r="Z34" i="9" s="1"/>
  <c r="H30" i="17" s="1"/>
  <c r="G2" i="17"/>
  <c r="G4" i="17"/>
  <c r="H4" i="17"/>
  <c r="X35" i="9"/>
  <c r="Y35" i="9" s="1"/>
  <c r="G31" i="17" s="1"/>
  <c r="B16" i="19"/>
  <c r="X33" i="9"/>
  <c r="Y33" i="9" s="1"/>
  <c r="G29" i="17" s="1"/>
  <c r="Y37" i="9"/>
  <c r="G33" i="17" s="1"/>
  <c r="Z37" i="9"/>
  <c r="H33" i="17" s="1"/>
  <c r="U38" i="9"/>
  <c r="C11" i="19"/>
  <c r="C12" i="19" s="1"/>
  <c r="C13" i="19" s="1"/>
  <c r="C14" i="19" s="1"/>
  <c r="C15" i="19" s="1"/>
  <c r="H2" i="17"/>
  <c r="Y34" i="9"/>
  <c r="G30" i="17" s="1"/>
  <c r="V34" i="10"/>
  <c r="L30" i="10"/>
  <c r="M30" i="10" s="1"/>
  <c r="K30" i="10"/>
  <c r="L29" i="10"/>
  <c r="M29" i="10" s="1"/>
  <c r="K29" i="10"/>
  <c r="P29" i="10" s="1"/>
  <c r="L28" i="10"/>
  <c r="M28" i="10" s="1"/>
  <c r="K28" i="10"/>
  <c r="L27" i="10"/>
  <c r="M27" i="10" s="1"/>
  <c r="K27" i="10"/>
  <c r="P27" i="10" s="1"/>
  <c r="L26" i="10"/>
  <c r="M26" i="10" s="1"/>
  <c r="K26" i="10"/>
  <c r="P26" i="10" s="1"/>
  <c r="L25" i="10"/>
  <c r="M25" i="10" s="1"/>
  <c r="K25" i="10"/>
  <c r="P25" i="10" s="1"/>
  <c r="X24" i="10"/>
  <c r="L24" i="10"/>
  <c r="M24" i="10" s="1"/>
  <c r="K24" i="10"/>
  <c r="P24" i="10" s="1"/>
  <c r="L23" i="10"/>
  <c r="M23" i="10" s="1"/>
  <c r="K23" i="10"/>
  <c r="L22" i="10"/>
  <c r="M22" i="10" s="1"/>
  <c r="K22" i="10"/>
  <c r="L21" i="10"/>
  <c r="M21" i="10" s="1"/>
  <c r="K21" i="10"/>
  <c r="P21" i="10" s="1"/>
  <c r="L20" i="10"/>
  <c r="M20" i="10" s="1"/>
  <c r="K20" i="10"/>
  <c r="L19" i="10"/>
  <c r="M19" i="10" s="1"/>
  <c r="K19" i="10"/>
  <c r="L18" i="10"/>
  <c r="M18" i="10" s="1"/>
  <c r="K18" i="10"/>
  <c r="P18" i="10" s="1"/>
  <c r="L17" i="10"/>
  <c r="M17" i="10" s="1"/>
  <c r="K17" i="10"/>
  <c r="L16" i="10"/>
  <c r="M16" i="10" s="1"/>
  <c r="K16" i="10"/>
  <c r="P16" i="10" s="1"/>
  <c r="L15" i="10"/>
  <c r="M15" i="10" s="1"/>
  <c r="K15" i="10"/>
  <c r="P15" i="10" s="1"/>
  <c r="L14" i="10"/>
  <c r="M14" i="10" s="1"/>
  <c r="K14" i="10"/>
  <c r="P14" i="10" s="1"/>
  <c r="L13" i="10"/>
  <c r="M13" i="10" s="1"/>
  <c r="K13" i="10"/>
  <c r="L12" i="10"/>
  <c r="M12" i="10" s="1"/>
  <c r="K12" i="10"/>
  <c r="L11" i="10"/>
  <c r="M11" i="10" s="1"/>
  <c r="K11" i="10"/>
  <c r="L10" i="10"/>
  <c r="M10" i="10" s="1"/>
  <c r="K10" i="10"/>
  <c r="P10" i="10" s="1"/>
  <c r="L9" i="10"/>
  <c r="M9" i="10" s="1"/>
  <c r="K9" i="10"/>
  <c r="L8" i="10"/>
  <c r="M8" i="10" s="1"/>
  <c r="K8" i="10"/>
  <c r="P8" i="10" s="1"/>
  <c r="L7" i="10"/>
  <c r="M7" i="10" s="1"/>
  <c r="K7" i="10"/>
  <c r="P7" i="10" s="1"/>
  <c r="L6" i="10"/>
  <c r="M6" i="10" s="1"/>
  <c r="K6" i="10"/>
  <c r="P6" i="10" s="1"/>
  <c r="L5" i="10"/>
  <c r="M5" i="10" s="1"/>
  <c r="K5" i="10"/>
  <c r="L4" i="10"/>
  <c r="M4" i="10" s="1"/>
  <c r="Z35" i="9" l="1"/>
  <c r="H31" i="17" s="1"/>
  <c r="Z33" i="9"/>
  <c r="H29" i="17" s="1"/>
  <c r="L31" i="10"/>
  <c r="P5" i="10"/>
  <c r="K31" i="10"/>
  <c r="W36" i="9"/>
  <c r="X36" i="9" s="1"/>
  <c r="Z36" i="9" s="1"/>
  <c r="H32" i="17" s="1"/>
  <c r="C16" i="19"/>
  <c r="AA24" i="10"/>
  <c r="AB24" i="10"/>
  <c r="AC24" i="10"/>
  <c r="Z24" i="10"/>
  <c r="N7" i="10"/>
  <c r="O16" i="10"/>
  <c r="N17" i="10"/>
  <c r="N19" i="10"/>
  <c r="O28" i="10"/>
  <c r="O4" i="10"/>
  <c r="O9" i="10"/>
  <c r="N15" i="10"/>
  <c r="O22" i="10"/>
  <c r="N27" i="10"/>
  <c r="O29" i="10"/>
  <c r="N18" i="10"/>
  <c r="N30" i="10"/>
  <c r="P4" i="10"/>
  <c r="N5" i="10"/>
  <c r="O6" i="10"/>
  <c r="P9" i="10"/>
  <c r="O11" i="10"/>
  <c r="P11" i="10"/>
  <c r="O20" i="10"/>
  <c r="O23" i="10"/>
  <c r="P23" i="10"/>
  <c r="N26" i="10"/>
  <c r="P28" i="10"/>
  <c r="O10" i="10"/>
  <c r="O19" i="10"/>
  <c r="P19" i="10"/>
  <c r="N21" i="10"/>
  <c r="N6" i="10"/>
  <c r="N11" i="10"/>
  <c r="O17" i="10"/>
  <c r="P17" i="10"/>
  <c r="S35" i="10" s="1"/>
  <c r="N23" i="10"/>
  <c r="O30" i="10"/>
  <c r="P30" i="10"/>
  <c r="N13" i="10"/>
  <c r="P13" i="10"/>
  <c r="O13" i="10"/>
  <c r="H33" i="10"/>
  <c r="I35" i="10"/>
  <c r="S33" i="10"/>
  <c r="H32" i="10"/>
  <c r="U35" i="10"/>
  <c r="V35" i="10" s="1"/>
  <c r="P33" i="10"/>
  <c r="U32" i="10"/>
  <c r="V32" i="10" s="1"/>
  <c r="I31" i="10"/>
  <c r="R35" i="10"/>
  <c r="P32" i="10"/>
  <c r="O5" i="10"/>
  <c r="P12" i="10"/>
  <c r="N12" i="10"/>
  <c r="X18" i="10"/>
  <c r="X17" i="10"/>
  <c r="O12" i="10"/>
  <c r="N4" i="10"/>
  <c r="N9" i="10"/>
  <c r="O15" i="10"/>
  <c r="N16" i="10"/>
  <c r="O7" i="10"/>
  <c r="O8" i="10"/>
  <c r="O14" i="10"/>
  <c r="P20" i="10"/>
  <c r="N20" i="10"/>
  <c r="N8" i="10"/>
  <c r="N10" i="10"/>
  <c r="N14" i="10"/>
  <c r="O18" i="10"/>
  <c r="O21" i="10"/>
  <c r="N22" i="10"/>
  <c r="P22" i="10"/>
  <c r="N24" i="10"/>
  <c r="O26" i="10"/>
  <c r="O27" i="10"/>
  <c r="N28" i="10"/>
  <c r="J32" i="10"/>
  <c r="Q32" i="10"/>
  <c r="T33" i="10"/>
  <c r="T35" i="10"/>
  <c r="P35" i="10"/>
  <c r="H35" i="10"/>
  <c r="J34" i="10"/>
  <c r="R33" i="10"/>
  <c r="I33" i="10"/>
  <c r="S32" i="10"/>
  <c r="H31" i="10"/>
  <c r="H34" i="10"/>
  <c r="U33" i="10"/>
  <c r="V33" i="10" s="1"/>
  <c r="Q33" i="10"/>
  <c r="J33" i="10"/>
  <c r="R32" i="10"/>
  <c r="I32" i="10"/>
  <c r="O24" i="10"/>
  <c r="Y24" i="10"/>
  <c r="O25" i="10"/>
  <c r="J31" i="10"/>
  <c r="T32" i="10"/>
  <c r="I34" i="10"/>
  <c r="J35" i="10"/>
  <c r="N25" i="10"/>
  <c r="N29" i="10"/>
  <c r="X16" i="10" l="1"/>
  <c r="AA16" i="10" s="1"/>
  <c r="Q4" i="10"/>
  <c r="X6" i="10" s="1"/>
  <c r="Z6" i="10" s="1"/>
  <c r="X5" i="10"/>
  <c r="AA5" i="10" s="1"/>
  <c r="X15" i="10"/>
  <c r="X11" i="10"/>
  <c r="Y11" i="10" s="1"/>
  <c r="AC11" i="10" s="1"/>
  <c r="W38" i="9"/>
  <c r="Y36" i="9"/>
  <c r="G32" i="17" s="1"/>
  <c r="AD36" i="9"/>
  <c r="I31" i="17" s="1"/>
  <c r="AA18" i="10"/>
  <c r="AB18" i="10"/>
  <c r="AC18" i="10"/>
  <c r="Z18" i="10"/>
  <c r="AA17" i="10"/>
  <c r="AC17" i="10"/>
  <c r="Z17" i="10"/>
  <c r="AB17" i="10"/>
  <c r="Q35" i="10"/>
  <c r="M32" i="10"/>
  <c r="X30" i="10"/>
  <c r="X22" i="10"/>
  <c r="X28" i="10"/>
  <c r="X21" i="10"/>
  <c r="M33" i="10"/>
  <c r="X19" i="10"/>
  <c r="X25" i="10"/>
  <c r="M34" i="10"/>
  <c r="P34" i="10"/>
  <c r="X27" i="10"/>
  <c r="X23" i="10"/>
  <c r="X29" i="10"/>
  <c r="Y18" i="10"/>
  <c r="M35" i="10"/>
  <c r="X14" i="10"/>
  <c r="X13" i="10"/>
  <c r="X12" i="10"/>
  <c r="X9" i="10"/>
  <c r="X20" i="10"/>
  <c r="Y17" i="10"/>
  <c r="S31" i="10"/>
  <c r="F7" i="15" s="1"/>
  <c r="P31" i="10"/>
  <c r="C7" i="15" s="1"/>
  <c r="X10" i="10"/>
  <c r="X26" i="10"/>
  <c r="M31" i="10"/>
  <c r="Y16" i="10" l="1"/>
  <c r="AB16" i="10"/>
  <c r="AC16" i="10"/>
  <c r="Z16" i="10"/>
  <c r="W4" i="10"/>
  <c r="Y6" i="10"/>
  <c r="U31" i="10"/>
  <c r="H7" i="15" s="1"/>
  <c r="T31" i="10"/>
  <c r="G7" i="15" s="1"/>
  <c r="Q31" i="10"/>
  <c r="D7" i="15" s="1"/>
  <c r="V4" i="10"/>
  <c r="R31" i="10"/>
  <c r="E7" i="15" s="1"/>
  <c r="X7" i="10"/>
  <c r="Y7" i="10" s="1"/>
  <c r="X8" i="10"/>
  <c r="Y5" i="10"/>
  <c r="AB5" i="10"/>
  <c r="AC5" i="10"/>
  <c r="Z5" i="10"/>
  <c r="AA15" i="10"/>
  <c r="Z15" i="10"/>
  <c r="AB15" i="10"/>
  <c r="AC15" i="10"/>
  <c r="Y15" i="10"/>
  <c r="Z11" i="10"/>
  <c r="AA11" i="10" s="1"/>
  <c r="AB11" i="10"/>
  <c r="Z38" i="9"/>
  <c r="H34" i="17" s="1"/>
  <c r="AD38" i="9"/>
  <c r="I33" i="17" s="1"/>
  <c r="Y38" i="9"/>
  <c r="G34" i="17" s="1"/>
  <c r="X38" i="9"/>
  <c r="AC6" i="10"/>
  <c r="AA20" i="10"/>
  <c r="AB20" i="10"/>
  <c r="AC20" i="10"/>
  <c r="Z20" i="10"/>
  <c r="AA29" i="10"/>
  <c r="AC29" i="10"/>
  <c r="AB29" i="10"/>
  <c r="Z29" i="10"/>
  <c r="AA30" i="10"/>
  <c r="Z30" i="10"/>
  <c r="AB30" i="10"/>
  <c r="AC30" i="10"/>
  <c r="AA26" i="10"/>
  <c r="AB26" i="10"/>
  <c r="AC26" i="10"/>
  <c r="Z26" i="10"/>
  <c r="AA13" i="10"/>
  <c r="Z13" i="10"/>
  <c r="AB13" i="10"/>
  <c r="AA23" i="10"/>
  <c r="AC23" i="10"/>
  <c r="Z23" i="10"/>
  <c r="AB23" i="10"/>
  <c r="AA19" i="10"/>
  <c r="AC19" i="10"/>
  <c r="Z19" i="10"/>
  <c r="AB19" i="10"/>
  <c r="AA21" i="10"/>
  <c r="AC21" i="10"/>
  <c r="Z21" i="10"/>
  <c r="AB21" i="10"/>
  <c r="Y22" i="10"/>
  <c r="AA22" i="10"/>
  <c r="AB22" i="10"/>
  <c r="AC22" i="10"/>
  <c r="Z22" i="10"/>
  <c r="AB6" i="10"/>
  <c r="AA12" i="10"/>
  <c r="AC12" i="10"/>
  <c r="AB12" i="10"/>
  <c r="Z12" i="10"/>
  <c r="AA25" i="10"/>
  <c r="AC25" i="10"/>
  <c r="Z25" i="10"/>
  <c r="AB25" i="10"/>
  <c r="AA28" i="10"/>
  <c r="Z28" i="10"/>
  <c r="AB28" i="10"/>
  <c r="AC28" i="10"/>
  <c r="AA10" i="10"/>
  <c r="AC10" i="10"/>
  <c r="Z10" i="10"/>
  <c r="AB10" i="10"/>
  <c r="Z9" i="10"/>
  <c r="AA9" i="10" s="1"/>
  <c r="AA14" i="10"/>
  <c r="AB14" i="10"/>
  <c r="AC14" i="10"/>
  <c r="Z14" i="10"/>
  <c r="AA27" i="10"/>
  <c r="AC27" i="10"/>
  <c r="AB27" i="10"/>
  <c r="Z27" i="10"/>
  <c r="AA6" i="10"/>
  <c r="C4" i="19"/>
  <c r="C7" i="19"/>
  <c r="C6" i="19"/>
  <c r="D6" i="19"/>
  <c r="E4" i="19"/>
  <c r="D3" i="19"/>
  <c r="D5" i="19"/>
  <c r="E7" i="19"/>
  <c r="E3" i="19"/>
  <c r="C3" i="19"/>
  <c r="E6" i="19"/>
  <c r="E5" i="19"/>
  <c r="D7" i="19"/>
  <c r="D4" i="19"/>
  <c r="C5" i="19"/>
  <c r="C8" i="15"/>
  <c r="Y28" i="10"/>
  <c r="Y30" i="10"/>
  <c r="V31" i="10"/>
  <c r="Y21" i="10"/>
  <c r="Y12" i="10"/>
  <c r="Y29" i="10"/>
  <c r="Y10" i="10"/>
  <c r="Y13" i="10"/>
  <c r="AC13" i="10" s="1"/>
  <c r="Y9" i="10"/>
  <c r="Y14" i="10"/>
  <c r="Y27" i="10"/>
  <c r="O31" i="10"/>
  <c r="N31" i="10"/>
  <c r="Y25" i="10"/>
  <c r="Y26" i="10"/>
  <c r="Y20" i="10"/>
  <c r="O35" i="10"/>
  <c r="N35" i="10"/>
  <c r="O32" i="10"/>
  <c r="N32" i="10"/>
  <c r="Y23" i="10"/>
  <c r="O34" i="10"/>
  <c r="N34" i="10"/>
  <c r="N33" i="10"/>
  <c r="O33" i="10"/>
  <c r="Y19" i="10"/>
  <c r="AB7" i="10" l="1"/>
  <c r="Z7" i="10"/>
  <c r="AA7" i="10"/>
  <c r="AC7" i="10"/>
  <c r="AC8" i="10"/>
  <c r="Y8" i="10"/>
  <c r="AB8" i="10"/>
  <c r="Z8" i="10"/>
  <c r="AA8" i="10"/>
  <c r="AB9" i="10"/>
  <c r="AC9" i="10"/>
  <c r="H8" i="15"/>
  <c r="D8" i="15"/>
  <c r="E8" i="15"/>
  <c r="G8" i="15"/>
  <c r="F8" i="15"/>
  <c r="B6" i="14" l="1"/>
  <c r="B5" i="14"/>
  <c r="X4" i="10" l="1"/>
  <c r="Y4" i="10" s="1"/>
  <c r="AF17" i="9" l="1"/>
  <c r="AH17" i="9" s="1"/>
  <c r="AF31" i="9"/>
  <c r="AI31" i="9" s="1"/>
  <c r="AF29" i="9"/>
  <c r="AG29" i="9" s="1"/>
  <c r="AF7" i="9"/>
  <c r="AH7" i="9" s="1"/>
  <c r="AF9" i="9"/>
  <c r="AI9" i="9" s="1"/>
  <c r="AF18" i="9"/>
  <c r="AI18" i="9" s="1"/>
  <c r="AF20" i="9"/>
  <c r="AI20" i="9" s="1"/>
  <c r="AF22" i="9"/>
  <c r="AG22" i="9" s="1"/>
  <c r="AF24" i="9"/>
  <c r="AI24" i="9" s="1"/>
  <c r="AF26" i="9"/>
  <c r="AI26" i="9" s="1"/>
  <c r="AF19" i="9"/>
  <c r="AI19" i="9" s="1"/>
  <c r="AF23" i="9"/>
  <c r="AG23" i="9" s="1"/>
  <c r="AF6" i="9"/>
  <c r="AF11" i="9"/>
  <c r="AF27" i="9"/>
  <c r="AF14" i="9"/>
  <c r="AF13" i="9"/>
  <c r="AF16" i="9"/>
  <c r="AF12" i="9"/>
  <c r="AF30" i="9"/>
  <c r="AF32" i="9"/>
  <c r="AF25" i="9"/>
  <c r="AF15" i="9"/>
  <c r="AF21" i="9"/>
  <c r="AF8" i="9"/>
  <c r="AA4" i="10"/>
  <c r="AB4" i="10"/>
  <c r="AF10" i="9"/>
  <c r="AC4" i="10"/>
  <c r="Z4" i="10"/>
  <c r="AF28" i="9"/>
  <c r="AI17" i="9" l="1"/>
  <c r="AH9" i="9"/>
  <c r="AH19" i="9"/>
  <c r="AG20" i="9"/>
  <c r="AH22" i="9"/>
  <c r="AI29" i="9"/>
  <c r="AG26" i="9"/>
  <c r="AG31" i="9"/>
  <c r="AH31" i="9"/>
  <c r="AH24" i="9"/>
  <c r="AG18" i="9"/>
  <c r="AH18" i="9"/>
  <c r="AH26" i="9"/>
  <c r="AI7" i="9"/>
  <c r="AG19" i="9"/>
  <c r="AG7" i="9"/>
  <c r="AI23" i="9"/>
  <c r="AI22" i="9"/>
  <c r="AH20" i="9"/>
  <c r="AG9" i="9"/>
  <c r="AG24" i="9"/>
  <c r="AH29" i="9"/>
  <c r="AG17" i="9"/>
  <c r="AH23" i="9"/>
  <c r="AG15" i="9"/>
  <c r="AH15" i="9"/>
  <c r="AI15" i="9"/>
  <c r="AI27" i="9"/>
  <c r="AG27" i="9"/>
  <c r="AH27" i="9"/>
  <c r="AI16" i="9"/>
  <c r="AG16" i="9"/>
  <c r="AH16" i="9"/>
  <c r="AI8" i="9"/>
  <c r="AH8" i="9"/>
  <c r="AG8" i="9"/>
  <c r="AG13" i="9"/>
  <c r="AH13" i="9"/>
  <c r="AI13" i="9"/>
  <c r="AI6" i="9"/>
  <c r="AG6" i="9"/>
  <c r="AH6" i="9"/>
  <c r="AG12" i="9"/>
  <c r="AI12" i="9"/>
  <c r="AH12" i="9"/>
  <c r="AG25" i="9"/>
  <c r="AI25" i="9"/>
  <c r="AH25" i="9"/>
  <c r="AH11" i="9"/>
  <c r="AG11" i="9"/>
  <c r="AI11" i="9"/>
  <c r="AG28" i="9"/>
  <c r="AI28" i="9"/>
  <c r="AH28" i="9"/>
  <c r="AI32" i="9"/>
  <c r="AG32" i="9"/>
  <c r="AH32" i="9"/>
  <c r="AH10" i="9"/>
  <c r="AG10" i="9"/>
  <c r="AI10" i="9"/>
  <c r="AI21" i="9"/>
  <c r="AH21" i="9"/>
  <c r="AG21" i="9"/>
  <c r="AH30" i="9"/>
  <c r="AG30" i="9"/>
  <c r="B4" i="14" s="1"/>
  <c r="AI30" i="9"/>
  <c r="AG14" i="9"/>
  <c r="AI14" i="9"/>
  <c r="AH14" i="9"/>
  <c r="B2" i="14" l="1"/>
  <c r="B3" i="14"/>
  <c r="C5" i="14" l="1"/>
  <c r="C3" i="14"/>
  <c r="D5" i="14"/>
  <c r="E4" i="14"/>
  <c r="E6" i="14"/>
  <c r="D3" i="14"/>
  <c r="E3" i="14"/>
  <c r="E2" i="14"/>
  <c r="C2" i="14"/>
  <c r="D4" i="14"/>
  <c r="C6" i="14"/>
  <c r="E5" i="14"/>
  <c r="D6" i="14"/>
  <c r="D2" i="14"/>
  <c r="C4" i="14"/>
  <c r="AC6" i="9" l="1"/>
  <c r="C6" i="9" s="1"/>
  <c r="AC8" i="9" l="1"/>
  <c r="C8" i="9" s="1"/>
  <c r="AC7" i="9" l="1"/>
  <c r="C7" i="9" s="1"/>
  <c r="AC9" i="9"/>
  <c r="C9" i="9" s="1"/>
  <c r="AC10" i="9" l="1"/>
  <c r="C10" i="9" s="1"/>
  <c r="AC11" i="9" l="1"/>
  <c r="C11" i="9" s="1"/>
  <c r="AC12" i="9" l="1"/>
  <c r="C12" i="9" s="1"/>
  <c r="AC13" i="9" l="1"/>
  <c r="C13" i="9" s="1"/>
  <c r="AC14" i="9" l="1"/>
  <c r="C14" i="9" s="1"/>
  <c r="AC15" i="9" l="1"/>
  <c r="C15" i="9" s="1"/>
  <c r="AC16" i="9" l="1"/>
  <c r="C16" i="9" s="1"/>
  <c r="AC17" i="9" l="1"/>
  <c r="C17" i="9" s="1"/>
  <c r="AC18" i="9" l="1"/>
  <c r="C18" i="9" s="1"/>
  <c r="AC19" i="9" l="1"/>
  <c r="C19" i="9" s="1"/>
  <c r="AC20" i="9" l="1"/>
  <c r="C20" i="9" s="1"/>
  <c r="AC21" i="9" l="1"/>
  <c r="C21" i="9" s="1"/>
  <c r="AC22" i="9" l="1"/>
  <c r="C22" i="9" s="1"/>
  <c r="AC23" i="9" l="1"/>
  <c r="C23" i="9" s="1"/>
  <c r="AC24" i="9" l="1"/>
  <c r="C24" i="9" s="1"/>
  <c r="AC25" i="9" l="1"/>
  <c r="C25" i="9" s="1"/>
  <c r="AC26" i="9" l="1"/>
  <c r="C26" i="9" s="1"/>
  <c r="AC27" i="9" l="1"/>
  <c r="C27" i="9" s="1"/>
  <c r="AC28" i="9" l="1"/>
  <c r="C28" i="9" s="1"/>
  <c r="AC29" i="9" l="1"/>
  <c r="C29" i="9" s="1"/>
  <c r="AC30" i="9" l="1"/>
  <c r="C30" i="9" s="1"/>
  <c r="AC32" i="9" l="1"/>
  <c r="C32" i="9" s="1"/>
  <c r="AC31" i="9"/>
  <c r="C31" i="9" s="1"/>
</calcChain>
</file>

<file path=xl/sharedStrings.xml><?xml version="1.0" encoding="utf-8"?>
<sst xmlns="http://schemas.openxmlformats.org/spreadsheetml/2006/main" count="351" uniqueCount="140">
  <si>
    <t>Id</t>
  </si>
  <si>
    <t>Tester + Date</t>
  </si>
  <si>
    <t>Test Author + Date</t>
  </si>
  <si>
    <t>Test outcome description</t>
  </si>
  <si>
    <t>Test Outcome code</t>
  </si>
  <si>
    <t>Test Codes</t>
  </si>
  <si>
    <t>OK</t>
  </si>
  <si>
    <t>Action done</t>
  </si>
  <si>
    <t>Link to detailed outcome description</t>
  </si>
  <si>
    <t>18.2</t>
  </si>
  <si>
    <t>24.2</t>
  </si>
  <si>
    <t>35.2</t>
  </si>
  <si>
    <t>30.3</t>
  </si>
  <si>
    <t>53.1</t>
  </si>
  <si>
    <t>25.2</t>
  </si>
  <si>
    <t>PBL Input</t>
  </si>
  <si>
    <t>MIN</t>
  </si>
  <si>
    <t>LIKELY</t>
  </si>
  <si>
    <t>MAX</t>
  </si>
  <si>
    <t>Mean</t>
  </si>
  <si>
    <t>StdDev</t>
  </si>
  <si>
    <t>Variance</t>
  </si>
  <si>
    <t>SUM</t>
  </si>
  <si>
    <t>Comment</t>
  </si>
  <si>
    <t>Category</t>
  </si>
  <si>
    <t>Sprint</t>
  </si>
  <si>
    <t>SUBTOTAL</t>
  </si>
  <si>
    <t>TOTAL</t>
  </si>
  <si>
    <t>N/A</t>
  </si>
  <si>
    <t>ID</t>
  </si>
  <si>
    <t>New Mean</t>
  </si>
  <si>
    <t>Implemented</t>
  </si>
  <si>
    <t>Ideal Burndown</t>
  </si>
  <si>
    <t>Average</t>
  </si>
  <si>
    <t>Min</t>
  </si>
  <si>
    <t>Max</t>
  </si>
  <si>
    <t>Velocity</t>
  </si>
  <si>
    <t>New PBL LMIN</t>
  </si>
  <si>
    <t>New PBL LMAX</t>
  </si>
  <si>
    <t>Not Tested</t>
  </si>
  <si>
    <t>NOK</t>
  </si>
  <si>
    <t>OK with Errors</t>
  </si>
  <si>
    <t>Task</t>
  </si>
  <si>
    <t>Current sprint</t>
  </si>
  <si>
    <t>Sprint Length</t>
  </si>
  <si>
    <t>Remaining Work</t>
  </si>
  <si>
    <t>Precision</t>
  </si>
  <si>
    <t>Out of Scope</t>
  </si>
  <si>
    <t>OoS</t>
  </si>
  <si>
    <t>Aggregated LMAX</t>
  </si>
  <si>
    <t>Acceptance Test Labels</t>
  </si>
  <si>
    <t>In Scope</t>
  </si>
  <si>
    <t>Acceptance Test</t>
  </si>
  <si>
    <t>Task ID</t>
  </si>
  <si>
    <t>Target
Precision
Level</t>
  </si>
  <si>
    <t>Requirement Breakdown
Unique Reference</t>
  </si>
  <si>
    <t>Precondition/ Context
(Given)</t>
  </si>
  <si>
    <t>Test specification description
(When)</t>
  </si>
  <si>
    <t>Expected result 
(Then)</t>
  </si>
  <si>
    <t>Weighted
Uncertainty
Contribution</t>
  </si>
  <si>
    <t>Lmin</t>
  </si>
  <si>
    <t>Lmax</t>
  </si>
  <si>
    <t>Tasks - Sprint Backlog</t>
  </si>
  <si>
    <t>Task
number</t>
  </si>
  <si>
    <t>Day 
0</t>
  </si>
  <si>
    <t>Day 
1</t>
  </si>
  <si>
    <t>Day 
2</t>
  </si>
  <si>
    <t>Day 
3</t>
  </si>
  <si>
    <t>Day 
4</t>
  </si>
  <si>
    <t>Day 
5</t>
  </si>
  <si>
    <t>Sprint
Remaining</t>
  </si>
  <si>
    <t>Test Case
Remaining</t>
  </si>
  <si>
    <t>Test Case 
ID Done</t>
  </si>
  <si>
    <t>New
Mean</t>
  </si>
  <si>
    <t>New 
Lmin</t>
  </si>
  <si>
    <t>New
Lmax</t>
  </si>
  <si>
    <t>Actual time
spent</t>
  </si>
  <si>
    <t>Days in
sprint</t>
  </si>
  <si>
    <t>End Day</t>
  </si>
  <si>
    <t>Velocity Chart based Original Estimates</t>
  </si>
  <si>
    <t>New Standard Deviation</t>
  </si>
  <si>
    <t>New Variance</t>
  </si>
  <si>
    <t>Aggregated Mean</t>
  </si>
  <si>
    <t>Acceptance Tests - Product Backlog</t>
  </si>
  <si>
    <t>Dependency</t>
  </si>
  <si>
    <t>End User</t>
  </si>
  <si>
    <t>Bug</t>
  </si>
  <si>
    <t>Yes</t>
  </si>
  <si>
    <t>No</t>
  </si>
  <si>
    <t>Prio</t>
  </si>
  <si>
    <t xml:space="preserve"> </t>
  </si>
  <si>
    <t>Aggregated Standard Deviation</t>
  </si>
  <si>
    <t xml:space="preserve">GIVEN </t>
  </si>
  <si>
    <t xml:space="preserve">WHEN </t>
  </si>
  <si>
    <t xml:space="preserve">THEN </t>
  </si>
  <si>
    <t>Points</t>
  </si>
  <si>
    <t>Use button below to change level of detail presented.</t>
  </si>
  <si>
    <t>Link to MADI Artifacts</t>
  </si>
  <si>
    <t>GIVEN  you are logged in to the system as test lead
WHEN chosing to create a test sequence
THEN you should be able to add tests and save and name test sequence</t>
  </si>
  <si>
    <t>GIVEN you are logged in as test lead, local editor, master editor
WHEN chosing to create a test routine
THEN you should be able to add test sequence, test cases and be able to save it with a name.</t>
  </si>
  <si>
    <t>GIVEN =CONCATENATE(Parameters!$B$2;F6;CHAR(10);Parameters!$B$3;G6;CHAR(10);Parameters!$B$4;H6)</t>
  </si>
  <si>
    <t>chosing to create a test sequence</t>
  </si>
  <si>
    <t>you are logged in as test lead, local editor, master editor</t>
  </si>
  <si>
    <t xml:space="preserve"> chosing to create a test routine</t>
  </si>
  <si>
    <t xml:space="preserve"> chosing to create a test case</t>
  </si>
  <si>
    <t>chosing to edit a test case</t>
  </si>
  <si>
    <t>TCR2</t>
  </si>
  <si>
    <t>you are logged in to the system</t>
  </si>
  <si>
    <t>You should be able to see the data connected to the test case</t>
  </si>
  <si>
    <t>chosing to view a test case</t>
  </si>
  <si>
    <t>TCR3</t>
  </si>
  <si>
    <t>arto</t>
  </si>
  <si>
    <t>You are logged in as Master editor to the system</t>
  </si>
  <si>
    <t>You should get a log specifying when it was changed and  it should be possible to see what was changed between two dates. Export-possibility to share information with stakeholders outside system.</t>
  </si>
  <si>
    <t>Chosing a test sequence or a test case</t>
  </si>
  <si>
    <t>You select to view a log of test case changes.</t>
  </si>
  <si>
    <t>When updating a test case creating a new version</t>
  </si>
  <si>
    <t>You should be able to address owners of custom test sequence about the change through the system.</t>
  </si>
  <si>
    <t>Should be possible to view test cases for different categories (truck functions)</t>
  </si>
  <si>
    <t>Purpose is to see if there is areas lacking test cases or if there is to many test cases.</t>
  </si>
  <si>
    <t>You are logged in as Local editor to the system</t>
  </si>
  <si>
    <t>When chosing to view test cases</t>
  </si>
  <si>
    <t>You should have an easy overview of test cases and a possibility to easily extract or share the data with people with no access to the system</t>
  </si>
  <si>
    <r>
      <t>You should be able to see when test sequence or tests within the sequence were latest used.</t>
    </r>
    <r>
      <rPr>
        <b/>
        <sz val="8"/>
        <rFont val="Arial"/>
        <family val="2"/>
      </rPr>
      <t xml:space="preserve"> (This is needed to be able to sort\hide or remove test cases).</t>
    </r>
  </si>
  <si>
    <t>You should be able to search test cases for different categories(truck functions).</t>
  </si>
  <si>
    <t>when  choosing a variant for a specific product class</t>
  </si>
  <si>
    <t>You should see valid test cases for that variant and product class combination.</t>
  </si>
  <si>
    <t>You are logged in as test lead</t>
  </si>
  <si>
    <t>when coosing one or more test cases and tag them with predefined tags as( back office, features, testcase version, navigation, raining, snow).  You should be able to add tags to one or more test cases</t>
  </si>
  <si>
    <t>Test cases should be updated with the tag.</t>
  </si>
  <si>
    <t xml:space="preserve"> you should be able to add test cases and save and name test sequence with a uniqe name</t>
  </si>
  <si>
    <t xml:space="preserve"> you are logged in to the system as test lead, Master editor, Local editor</t>
  </si>
  <si>
    <t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t>
  </si>
  <si>
    <t>you should be able to add description and create a protocol(Add activities as check list).
You should aso be able to chose periodicity.(one time every morning other.)</t>
  </si>
  <si>
    <t>Manage test components</t>
  </si>
  <si>
    <t>TCR1</t>
  </si>
  <si>
    <t xml:space="preserve">You should be able to chose to specify what node(truck function) the thest belongs to.
You should be able to add a description of the test and an expected result.
You should be able to chose for which variants and product class the test case are valid for.
Yoshould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t>
  </si>
  <si>
    <t xml:space="preserve">You should be able to edit data and save the test case.
Test case will get a new version.
The change will be logged(who and when).
</t>
  </si>
  <si>
    <t>selecting multiple test cases for editing</t>
  </si>
  <si>
    <t>You should be able to sort and select test cases and replace words in description and expected results for the selected test cases  or add or remove variants\product classes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</si>
</sst>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k_r_-;\-* #,##0.00\ _k_r_-;_-* &quot;-&quot;??\ _k_r_-;_-@_-"/>
    <numFmt numFmtId="164" formatCode="_-* #,##0\ _k_r_-;\-* #,##0\ _k_r_-;_-* &quot;-&quot;??\ _k_r_-;_-@_-"/>
  </numFmts>
  <fonts count="11" x14ac:knownFonts="1">
    <font>
      <sz val="10"/>
      <name val="Arial"/>
    </font>
    <font>
      <b/>
      <sz val="10"/>
      <name val="Arial"/>
      <family val="2"/>
    </font>
    <font>
      <sz val="10"/>
      <name val="Arial"/>
      <family val="2"/>
    </font>
    <font>
      <b/>
      <i/>
      <sz val="14"/>
      <name val="Times New Roman"/>
      <family val="1"/>
    </font>
    <font>
      <b/>
      <sz val="11"/>
      <color rgb="FFFA7D00"/>
      <name val="Calibri"/>
      <family val="2"/>
      <scheme val="minor"/>
    </font>
    <font>
      <sz val="10"/>
      <name val="Arial"/>
      <family val="2"/>
    </font>
    <font>
      <b/>
      <i/>
      <sz val="14"/>
      <color rgb="FFFA7D00"/>
      <name val="Times New Roman"/>
      <family val="1"/>
    </font>
    <font>
      <sz val="10"/>
      <name val="Arial"/>
      <family val="2"/>
    </font>
    <font>
      <b/>
      <sz val="12"/>
      <name val="Arial"/>
      <family val="2"/>
    </font>
    <font>
      <sz val="8"/>
      <name val="Arial"/>
      <family val="2"/>
    </font>
    <font>
      <b/>
      <sz val="8"/>
      <name val="Arial"/>
      <family val="2"/>
    </font>
  </fonts>
  <fills count="14">
    <fill>
      <patternFill patternType="none"/>
    </fill>
    <fill>
      <patternFill patternType="gray125"/>
    </fill>
    <fill>
      <patternFill patternType="solid">
        <fgColor indexed="63"/>
        <bgColor indexed="64"/>
      </patternFill>
    </fill>
    <fill>
      <patternFill patternType="gray0625">
        <fgColor indexed="9"/>
        <bgColor indexed="9"/>
      </patternFill>
    </fill>
    <fill>
      <patternFill patternType="solid">
        <fgColor rgb="FFF2F2F2"/>
      </patternFill>
    </fill>
    <fill>
      <patternFill patternType="solid">
        <fgColor theme="0"/>
        <bgColor indexed="64"/>
      </patternFill>
    </fill>
    <fill>
      <patternFill patternType="solid">
        <fgColor theme="1"/>
        <bgColor indexed="64"/>
      </patternFill>
    </fill>
    <fill>
      <patternFill patternType="solid">
        <fgColor theme="2"/>
        <bgColor indexed="64"/>
      </patternFill>
    </fill>
    <fill>
      <patternFill patternType="gray0625">
        <fgColor indexed="9"/>
        <bgColor theme="2"/>
      </patternFill>
    </fill>
    <fill>
      <patternFill patternType="solid">
        <fgColor theme="3" tint="0.39997558519241921"/>
        <bgColor indexed="9"/>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tint="0.39997558519241921"/>
        <bgColor indexed="65"/>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indexed="64"/>
      </left>
      <right style="thin">
        <color indexed="64"/>
      </right>
      <top/>
      <bottom style="thin">
        <color indexed="64"/>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thin">
        <color indexed="64"/>
      </left>
      <right style="thin">
        <color indexed="64"/>
      </right>
      <top style="thin">
        <color indexed="64"/>
      </top>
      <bottom/>
      <diagonal/>
    </border>
    <border>
      <left/>
      <right style="thin">
        <color rgb="FF7F7F7F"/>
      </right>
      <top style="thin">
        <color rgb="FF7F7F7F"/>
      </top>
      <bottom/>
      <diagonal/>
    </border>
    <border>
      <left/>
      <right style="thin">
        <color rgb="FF7F7F7F"/>
      </right>
      <top/>
      <bottom style="thin">
        <color rgb="FF7F7F7F"/>
      </bottom>
      <diagonal/>
    </border>
    <border>
      <left style="thin">
        <color rgb="FF7F7F7F"/>
      </left>
      <right/>
      <top/>
      <bottom style="thin">
        <color rgb="FF7F7F7F"/>
      </bottom>
      <diagonal/>
    </border>
    <border>
      <left style="medium">
        <color indexed="64"/>
      </left>
      <right style="thin">
        <color indexed="64"/>
      </right>
      <top/>
      <bottom style="medium">
        <color indexed="64"/>
      </bottom>
      <diagonal/>
    </border>
    <border>
      <left/>
      <right style="thin">
        <color rgb="FF7F7F7F"/>
      </right>
      <top/>
      <bottom style="medium">
        <color indexed="64"/>
      </bottom>
      <diagonal/>
    </border>
    <border>
      <left style="thin">
        <color rgb="FF7F7F7F"/>
      </left>
      <right style="thin">
        <color rgb="FF7F7F7F"/>
      </right>
      <top/>
      <bottom style="medium">
        <color indexed="64"/>
      </bottom>
      <diagonal/>
    </border>
    <border>
      <left style="thin">
        <color rgb="FF7F7F7F"/>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rgb="FF7F7F7F"/>
      </right>
      <top style="medium">
        <color indexed="64"/>
      </top>
      <bottom style="thin">
        <color rgb="FF7F7F7F"/>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rgb="FF7F7F7F"/>
      </right>
      <top style="thin">
        <color rgb="FF7F7F7F"/>
      </top>
      <bottom style="medium">
        <color indexed="64"/>
      </bottom>
      <diagonal/>
    </border>
  </borders>
  <cellStyleXfs count="4">
    <xf numFmtId="0" fontId="0" fillId="0" borderId="0"/>
    <xf numFmtId="0" fontId="4" fillId="4" borderId="3" applyNumberFormat="0" applyAlignment="0" applyProtection="0"/>
    <xf numFmtId="9" fontId="5" fillId="0" borderId="0" applyFont="0" applyFill="0" applyBorder="0" applyAlignment="0" applyProtection="0"/>
    <xf numFmtId="43" fontId="7" fillId="0" borderId="0" applyFont="0" applyFill="0" applyBorder="0" applyAlignment="0" applyProtection="0"/>
  </cellStyleXfs>
  <cellXfs count="149">
    <xf numFmtId="0" fontId="0" fillId="0" borderId="0" xfId="0"/>
    <xf numFmtId="0" fontId="1" fillId="0" borderId="0" xfId="0" applyFont="1"/>
    <xf numFmtId="0" fontId="2" fillId="0" borderId="0" xfId="0" applyFont="1"/>
    <xf numFmtId="0" fontId="3" fillId="0" borderId="1" xfId="0" applyFont="1" applyBorder="1" applyAlignment="1">
      <alignment vertical="top" wrapText="1"/>
    </xf>
    <xf numFmtId="0" fontId="6" fillId="4" borderId="3" xfId="1" applyFont="1" applyAlignment="1">
      <alignment vertical="top" wrapText="1"/>
    </xf>
    <xf numFmtId="164" fontId="4" fillId="4" borderId="3" xfId="3" applyNumberFormat="1" applyFont="1" applyFill="1" applyBorder="1" applyAlignment="1">
      <alignment horizontal="center" wrapText="1"/>
    </xf>
    <xf numFmtId="0" fontId="2" fillId="0" borderId="0" xfId="0" applyFont="1" applyAlignment="1">
      <alignment wrapText="1"/>
    </xf>
    <xf numFmtId="0" fontId="3" fillId="7" borderId="1" xfId="0" applyFont="1" applyFill="1" applyBorder="1" applyAlignment="1">
      <alignment vertical="top" wrapText="1"/>
    </xf>
    <xf numFmtId="0" fontId="1" fillId="7" borderId="0" xfId="0" applyFont="1" applyFill="1"/>
    <xf numFmtId="0" fontId="0" fillId="7" borderId="0" xfId="0" applyFill="1"/>
    <xf numFmtId="0" fontId="2" fillId="0" borderId="1" xfId="0" applyFont="1" applyBorder="1" applyAlignment="1">
      <alignment wrapText="1"/>
    </xf>
    <xf numFmtId="0" fontId="0" fillId="0" borderId="0" xfId="0" applyAlignment="1">
      <alignment horizontal="right"/>
    </xf>
    <xf numFmtId="164" fontId="0" fillId="0" borderId="0" xfId="0" applyNumberFormat="1" applyAlignment="1">
      <alignment horizontal="right"/>
    </xf>
    <xf numFmtId="0" fontId="2" fillId="0" borderId="0" xfId="0" applyFont="1" applyAlignment="1"/>
    <xf numFmtId="0" fontId="2" fillId="0" borderId="0" xfId="0" applyFont="1" applyAlignment="1">
      <alignment horizontal="center"/>
    </xf>
    <xf numFmtId="0" fontId="9" fillId="0" borderId="0" xfId="0" applyFont="1" applyAlignment="1">
      <alignment wrapText="1"/>
    </xf>
    <xf numFmtId="0" fontId="10" fillId="0" borderId="0" xfId="0" applyFont="1" applyAlignment="1">
      <alignment wrapText="1"/>
    </xf>
    <xf numFmtId="0" fontId="1" fillId="0" borderId="0" xfId="0" applyFont="1" applyAlignment="1"/>
    <xf numFmtId="0" fontId="9" fillId="2" borderId="1" xfId="0" applyFont="1" applyFill="1" applyBorder="1" applyAlignment="1">
      <alignment wrapText="1"/>
    </xf>
    <xf numFmtId="0" fontId="9" fillId="0" borderId="0" xfId="0" applyFont="1" applyAlignment="1"/>
    <xf numFmtId="0" fontId="9" fillId="5" borderId="1" xfId="0" applyFont="1" applyFill="1" applyBorder="1" applyAlignment="1"/>
    <xf numFmtId="0" fontId="9" fillId="0" borderId="1" xfId="0" applyFont="1" applyBorder="1" applyAlignment="1"/>
    <xf numFmtId="0" fontId="9" fillId="0" borderId="1" xfId="0" applyFont="1" applyBorder="1" applyAlignment="1">
      <alignment wrapText="1"/>
    </xf>
    <xf numFmtId="0" fontId="9" fillId="5" borderId="1" xfId="0" applyFont="1" applyFill="1" applyBorder="1" applyAlignment="1">
      <alignment wrapText="1"/>
    </xf>
    <xf numFmtId="0" fontId="9" fillId="0" borderId="2" xfId="0" applyFont="1" applyBorder="1" applyAlignment="1">
      <alignment wrapText="1"/>
    </xf>
    <xf numFmtId="0" fontId="9" fillId="0" borderId="0" xfId="0" applyFont="1" applyAlignment="1">
      <alignment horizontal="center"/>
    </xf>
    <xf numFmtId="0" fontId="9" fillId="2" borderId="0" xfId="0" applyFont="1" applyFill="1" applyAlignment="1">
      <alignment wrapText="1"/>
    </xf>
    <xf numFmtId="0" fontId="9" fillId="5" borderId="1" xfId="0" applyFont="1" applyFill="1" applyBorder="1" applyAlignment="1">
      <alignment horizontal="center" wrapText="1"/>
    </xf>
    <xf numFmtId="0" fontId="9" fillId="0" borderId="1" xfId="0" applyFont="1" applyBorder="1" applyAlignment="1">
      <alignment horizontal="center" wrapText="1"/>
    </xf>
    <xf numFmtId="0" fontId="9" fillId="0" borderId="0" xfId="0" applyFont="1" applyAlignment="1">
      <alignment horizontal="center" wrapText="1"/>
    </xf>
    <xf numFmtId="0" fontId="9" fillId="3" borderId="1" xfId="0" applyFont="1" applyFill="1" applyBorder="1" applyAlignment="1">
      <alignment wrapText="1"/>
    </xf>
    <xf numFmtId="0" fontId="9" fillId="6" borderId="1" xfId="0" applyFont="1" applyFill="1" applyBorder="1" applyAlignment="1">
      <alignment wrapText="1"/>
    </xf>
    <xf numFmtId="0" fontId="10" fillId="9" borderId="1" xfId="0" applyFont="1" applyFill="1" applyBorder="1" applyAlignment="1">
      <alignment wrapText="1"/>
    </xf>
    <xf numFmtId="0" fontId="10" fillId="9" borderId="1" xfId="0" applyFont="1" applyFill="1" applyBorder="1" applyAlignment="1">
      <alignment horizontal="center" wrapText="1"/>
    </xf>
    <xf numFmtId="0" fontId="10" fillId="10" borderId="1" xfId="0" applyFont="1" applyFill="1" applyBorder="1" applyAlignment="1">
      <alignment wrapText="1"/>
    </xf>
    <xf numFmtId="0" fontId="10" fillId="10" borderId="0" xfId="0" applyFont="1" applyFill="1" applyAlignment="1"/>
    <xf numFmtId="0" fontId="9" fillId="12" borderId="3" xfId="1" applyFont="1" applyFill="1" applyAlignment="1">
      <alignment horizontal="center" wrapText="1"/>
    </xf>
    <xf numFmtId="0" fontId="9" fillId="12" borderId="3" xfId="1" applyFont="1" applyFill="1" applyAlignment="1">
      <alignment wrapText="1"/>
    </xf>
    <xf numFmtId="0" fontId="9" fillId="11" borderId="3" xfId="1" applyFont="1" applyFill="1" applyAlignment="1">
      <alignment wrapText="1"/>
    </xf>
    <xf numFmtId="1" fontId="9" fillId="11" borderId="3" xfId="1" applyNumberFormat="1" applyFont="1" applyFill="1" applyAlignment="1">
      <alignment wrapText="1"/>
    </xf>
    <xf numFmtId="0" fontId="10" fillId="13" borderId="1" xfId="1" applyFont="1" applyFill="1" applyBorder="1" applyAlignment="1">
      <alignment wrapText="1"/>
    </xf>
    <xf numFmtId="0" fontId="10" fillId="10" borderId="1" xfId="0" applyFont="1" applyFill="1" applyBorder="1" applyAlignment="1">
      <alignment horizontal="center" wrapText="1"/>
    </xf>
    <xf numFmtId="9" fontId="9" fillId="12" borderId="3" xfId="2" applyFont="1" applyFill="1" applyBorder="1" applyAlignment="1">
      <alignment wrapText="1"/>
    </xf>
    <xf numFmtId="0" fontId="9" fillId="12" borderId="5" xfId="1" applyFont="1" applyFill="1" applyBorder="1" applyAlignment="1">
      <alignment wrapText="1"/>
    </xf>
    <xf numFmtId="0" fontId="10" fillId="7" borderId="1" xfId="0" applyFont="1" applyFill="1" applyBorder="1" applyAlignment="1">
      <alignment wrapText="1"/>
    </xf>
    <xf numFmtId="0" fontId="10" fillId="7" borderId="1" xfId="0" applyFont="1" applyFill="1" applyBorder="1" applyAlignment="1">
      <alignment horizontal="center" wrapText="1"/>
    </xf>
    <xf numFmtId="0" fontId="9" fillId="7" borderId="1" xfId="0" applyFont="1" applyFill="1" applyBorder="1" applyAlignment="1">
      <alignment wrapText="1"/>
    </xf>
    <xf numFmtId="9" fontId="9" fillId="7" borderId="1" xfId="2" applyFont="1" applyFill="1" applyBorder="1" applyAlignment="1">
      <alignment wrapText="1"/>
    </xf>
    <xf numFmtId="0" fontId="9" fillId="7" borderId="1" xfId="0" applyFont="1" applyFill="1" applyBorder="1" applyAlignment="1">
      <alignment horizontal="center" wrapText="1"/>
    </xf>
    <xf numFmtId="9" fontId="10" fillId="7" borderId="1" xfId="2" applyFont="1" applyFill="1" applyBorder="1" applyAlignment="1">
      <alignment wrapText="1"/>
    </xf>
    <xf numFmtId="0" fontId="2" fillId="3" borderId="1" xfId="0" applyFont="1" applyFill="1" applyBorder="1" applyAlignment="1">
      <alignment wrapText="1"/>
    </xf>
    <xf numFmtId="0" fontId="2" fillId="8" borderId="1" xfId="0" applyFont="1" applyFill="1" applyBorder="1" applyAlignment="1">
      <alignment wrapText="1"/>
    </xf>
    <xf numFmtId="0" fontId="2" fillId="4" borderId="3" xfId="1" applyFont="1" applyAlignment="1">
      <alignment wrapText="1"/>
    </xf>
    <xf numFmtId="0" fontId="2" fillId="12" borderId="3" xfId="1" applyFont="1" applyFill="1" applyAlignment="1">
      <alignment wrapText="1"/>
    </xf>
    <xf numFmtId="0" fontId="1" fillId="9" borderId="1" xfId="0" applyFont="1" applyFill="1" applyBorder="1" applyAlignment="1">
      <alignment wrapText="1"/>
    </xf>
    <xf numFmtId="0" fontId="1" fillId="10" borderId="1" xfId="0" applyFont="1" applyFill="1" applyBorder="1" applyAlignment="1">
      <alignment horizontal="center" wrapText="1"/>
    </xf>
    <xf numFmtId="0" fontId="1" fillId="9" borderId="1" xfId="0" applyFont="1" applyFill="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wrapText="1"/>
    </xf>
    <xf numFmtId="0" fontId="2" fillId="12" borderId="9" xfId="0" applyFont="1" applyFill="1" applyBorder="1" applyAlignment="1">
      <alignment horizontal="center"/>
    </xf>
    <xf numFmtId="0" fontId="2" fillId="12" borderId="8" xfId="1" applyFont="1" applyFill="1" applyBorder="1" applyAlignment="1">
      <alignment wrapText="1"/>
    </xf>
    <xf numFmtId="0" fontId="2" fillId="0" borderId="9" xfId="0" applyFont="1" applyBorder="1" applyAlignment="1">
      <alignment wrapText="1"/>
    </xf>
    <xf numFmtId="0" fontId="2" fillId="3" borderId="9" xfId="0" applyFont="1" applyFill="1" applyBorder="1" applyAlignment="1">
      <alignment wrapText="1"/>
    </xf>
    <xf numFmtId="0" fontId="2" fillId="0" borderId="9" xfId="0" applyFont="1" applyBorder="1" applyAlignment="1">
      <alignment horizontal="center" wrapText="1"/>
    </xf>
    <xf numFmtId="164" fontId="2" fillId="12" borderId="1" xfId="3" applyNumberFormat="1" applyFont="1" applyFill="1" applyBorder="1" applyAlignment="1">
      <alignment horizontal="center"/>
    </xf>
    <xf numFmtId="164" fontId="2" fillId="12" borderId="9" xfId="3" applyNumberFormat="1" applyFont="1" applyFill="1" applyBorder="1" applyAlignment="1">
      <alignment horizontal="center"/>
    </xf>
    <xf numFmtId="164" fontId="2" fillId="7" borderId="1" xfId="3" applyNumberFormat="1" applyFont="1" applyFill="1" applyBorder="1" applyAlignment="1">
      <alignment horizontal="center"/>
    </xf>
    <xf numFmtId="164" fontId="2" fillId="0" borderId="1" xfId="3" applyNumberFormat="1" applyFont="1" applyBorder="1" applyAlignment="1">
      <alignment horizontal="center"/>
    </xf>
    <xf numFmtId="1" fontId="2" fillId="12" borderId="8" xfId="1" applyNumberFormat="1" applyFont="1" applyFill="1" applyBorder="1" applyAlignment="1">
      <alignment horizontal="center" wrapText="1"/>
    </xf>
    <xf numFmtId="1" fontId="2" fillId="0" borderId="9" xfId="0" applyNumberFormat="1" applyFont="1" applyBorder="1" applyAlignment="1">
      <alignment horizontal="center" wrapText="1"/>
    </xf>
    <xf numFmtId="1" fontId="2" fillId="0" borderId="1" xfId="3" applyNumberFormat="1" applyFont="1" applyBorder="1" applyAlignment="1">
      <alignment horizontal="center" wrapText="1"/>
    </xf>
    <xf numFmtId="1" fontId="2" fillId="12" borderId="3" xfId="3" applyNumberFormat="1" applyFont="1" applyFill="1" applyBorder="1" applyAlignment="1">
      <alignment horizontal="center" wrapText="1"/>
    </xf>
    <xf numFmtId="1" fontId="2" fillId="4" borderId="3" xfId="3" applyNumberFormat="1" applyFont="1" applyFill="1" applyBorder="1" applyAlignment="1">
      <alignment horizontal="center" wrapText="1"/>
    </xf>
    <xf numFmtId="1" fontId="2" fillId="7" borderId="1" xfId="3" applyNumberFormat="1" applyFont="1" applyFill="1" applyBorder="1" applyAlignment="1">
      <alignment horizontal="center"/>
    </xf>
    <xf numFmtId="1" fontId="2" fillId="12" borderId="9" xfId="1" applyNumberFormat="1" applyFont="1" applyFill="1" applyBorder="1" applyAlignment="1">
      <alignment horizontal="center"/>
    </xf>
    <xf numFmtId="1" fontId="2" fillId="12" borderId="1" xfId="3" applyNumberFormat="1" applyFont="1" applyFill="1" applyBorder="1" applyAlignment="1">
      <alignment horizontal="center"/>
    </xf>
    <xf numFmtId="1" fontId="2" fillId="12" borderId="8" xfId="3" applyNumberFormat="1" applyFont="1" applyFill="1" applyBorder="1" applyAlignment="1">
      <alignment horizontal="center"/>
    </xf>
    <xf numFmtId="1" fontId="2" fillId="12" borderId="3" xfId="3" applyNumberFormat="1" applyFont="1" applyFill="1" applyBorder="1" applyAlignment="1">
      <alignment horizontal="center"/>
    </xf>
    <xf numFmtId="1" fontId="2" fillId="12" borderId="7" xfId="3" applyNumberFormat="1" applyFont="1" applyFill="1" applyBorder="1" applyAlignment="1">
      <alignment horizontal="center"/>
    </xf>
    <xf numFmtId="1" fontId="2" fillId="4" borderId="6" xfId="3" applyNumberFormat="1" applyFont="1" applyFill="1" applyBorder="1" applyAlignment="1">
      <alignment horizontal="center"/>
    </xf>
    <xf numFmtId="1" fontId="6" fillId="4" borderId="3" xfId="1" applyNumberFormat="1" applyFont="1" applyAlignment="1">
      <alignment vertical="top" wrapText="1"/>
    </xf>
    <xf numFmtId="1" fontId="0" fillId="0" borderId="0" xfId="0" applyNumberFormat="1"/>
    <xf numFmtId="0" fontId="9" fillId="12" borderId="3" xfId="1" applyFont="1" applyFill="1" applyAlignment="1">
      <alignment horizontal="right" wrapText="1"/>
    </xf>
    <xf numFmtId="9" fontId="9" fillId="0" borderId="1" xfId="0" applyNumberFormat="1" applyFont="1" applyBorder="1" applyAlignment="1">
      <alignment horizontal="center" wrapText="1"/>
    </xf>
    <xf numFmtId="0" fontId="10" fillId="13" borderId="1" xfId="1" applyFont="1" applyFill="1" applyBorder="1" applyAlignment="1">
      <alignment horizontal="center" wrapText="1"/>
    </xf>
    <xf numFmtId="164" fontId="9" fillId="0" borderId="0" xfId="3" applyNumberFormat="1" applyFont="1" applyAlignment="1"/>
    <xf numFmtId="164" fontId="9" fillId="11" borderId="5" xfId="3" applyNumberFormat="1" applyFont="1" applyFill="1" applyBorder="1" applyAlignment="1">
      <alignment wrapText="1"/>
    </xf>
    <xf numFmtId="164" fontId="9" fillId="11" borderId="3" xfId="3" applyNumberFormat="1" applyFont="1" applyFill="1" applyBorder="1" applyAlignment="1">
      <alignment wrapText="1"/>
    </xf>
    <xf numFmtId="164" fontId="9" fillId="0" borderId="0" xfId="3" applyNumberFormat="1" applyFont="1" applyAlignment="1">
      <alignment horizontal="center"/>
    </xf>
    <xf numFmtId="164" fontId="9" fillId="12" borderId="3" xfId="3" applyNumberFormat="1" applyFont="1" applyFill="1" applyBorder="1" applyAlignment="1">
      <alignment wrapText="1"/>
    </xf>
    <xf numFmtId="164" fontId="9" fillId="12" borderId="5" xfId="1" applyNumberFormat="1" applyFont="1" applyFill="1" applyBorder="1" applyAlignment="1">
      <alignment horizontal="center" wrapText="1"/>
    </xf>
    <xf numFmtId="0" fontId="9" fillId="12" borderId="7" xfId="1" applyFont="1" applyFill="1" applyBorder="1" applyAlignment="1">
      <alignment horizontal="center" wrapText="1"/>
    </xf>
    <xf numFmtId="9" fontId="9" fillId="12" borderId="7" xfId="2" applyFont="1" applyFill="1" applyBorder="1" applyAlignment="1">
      <alignment wrapText="1"/>
    </xf>
    <xf numFmtId="0" fontId="9" fillId="12" borderId="8" xfId="1" applyFont="1" applyFill="1" applyBorder="1" applyAlignment="1">
      <alignment horizontal="center" wrapText="1"/>
    </xf>
    <xf numFmtId="164" fontId="9" fillId="12" borderId="8" xfId="3" applyNumberFormat="1" applyFont="1" applyFill="1" applyBorder="1" applyAlignment="1">
      <alignment wrapText="1"/>
    </xf>
    <xf numFmtId="9" fontId="9" fillId="12" borderId="8" xfId="2" applyFont="1" applyFill="1" applyBorder="1" applyAlignment="1">
      <alignment wrapText="1"/>
    </xf>
    <xf numFmtId="0" fontId="9" fillId="12" borderId="10" xfId="1" applyFont="1" applyFill="1" applyBorder="1" applyAlignment="1">
      <alignment horizontal="center" wrapText="1"/>
    </xf>
    <xf numFmtId="164" fontId="9" fillId="12" borderId="10" xfId="3" applyNumberFormat="1" applyFont="1" applyFill="1" applyBorder="1" applyAlignment="1">
      <alignment wrapText="1"/>
    </xf>
    <xf numFmtId="9" fontId="9" fillId="12" borderId="11" xfId="2" applyFont="1" applyFill="1" applyBorder="1" applyAlignment="1">
      <alignment wrapText="1"/>
    </xf>
    <xf numFmtId="0" fontId="9" fillId="12" borderId="3" xfId="1" applyFont="1" applyFill="1" applyBorder="1" applyAlignment="1">
      <alignment horizontal="center" wrapText="1"/>
    </xf>
    <xf numFmtId="9" fontId="9" fillId="12" borderId="12" xfId="2" applyFont="1" applyFill="1" applyBorder="1" applyAlignment="1">
      <alignment wrapText="1"/>
    </xf>
    <xf numFmtId="164" fontId="9" fillId="12" borderId="13" xfId="3" applyNumberFormat="1" applyFont="1" applyFill="1" applyBorder="1" applyAlignment="1">
      <alignment wrapText="1"/>
    </xf>
    <xf numFmtId="9" fontId="9" fillId="12" borderId="14" xfId="2" applyFont="1" applyFill="1" applyBorder="1" applyAlignment="1">
      <alignment wrapText="1"/>
    </xf>
    <xf numFmtId="9" fontId="9" fillId="12" borderId="5" xfId="2" applyFont="1" applyFill="1" applyBorder="1" applyAlignment="1">
      <alignment wrapText="1"/>
    </xf>
    <xf numFmtId="9" fontId="9" fillId="0" borderId="15" xfId="0" applyNumberFormat="1" applyFont="1" applyBorder="1" applyAlignment="1">
      <alignment horizontal="center" wrapText="1"/>
    </xf>
    <xf numFmtId="164" fontId="9" fillId="11" borderId="16" xfId="3" applyNumberFormat="1" applyFont="1" applyFill="1" applyBorder="1" applyAlignment="1">
      <alignment wrapText="1"/>
    </xf>
    <xf numFmtId="164" fontId="9" fillId="11" borderId="7" xfId="3" applyNumberFormat="1" applyFont="1" applyFill="1" applyBorder="1" applyAlignment="1">
      <alignment wrapText="1"/>
    </xf>
    <xf numFmtId="9" fontId="9" fillId="0" borderId="9" xfId="0" applyNumberFormat="1" applyFont="1" applyBorder="1" applyAlignment="1">
      <alignment horizontal="center" wrapText="1"/>
    </xf>
    <xf numFmtId="164" fontId="9" fillId="11" borderId="17" xfId="3" applyNumberFormat="1" applyFont="1" applyFill="1" applyBorder="1" applyAlignment="1">
      <alignment wrapText="1"/>
    </xf>
    <xf numFmtId="164" fontId="9" fillId="11" borderId="8" xfId="3" applyNumberFormat="1" applyFont="1" applyFill="1" applyBorder="1" applyAlignment="1">
      <alignment wrapText="1"/>
    </xf>
    <xf numFmtId="0" fontId="9" fillId="3" borderId="15" xfId="0" applyFont="1" applyFill="1" applyBorder="1" applyAlignment="1">
      <alignment wrapText="1"/>
    </xf>
    <xf numFmtId="0" fontId="9" fillId="0" borderId="15" xfId="0" applyFont="1" applyBorder="1" applyAlignment="1">
      <alignment wrapText="1"/>
    </xf>
    <xf numFmtId="0" fontId="10" fillId="13" borderId="9" xfId="1" applyFont="1" applyFill="1" applyBorder="1" applyAlignment="1">
      <alignment wrapText="1"/>
    </xf>
    <xf numFmtId="0" fontId="9" fillId="12" borderId="8" xfId="1" applyFont="1" applyFill="1" applyBorder="1" applyAlignment="1">
      <alignment horizontal="right" wrapText="1"/>
    </xf>
    <xf numFmtId="0" fontId="9" fillId="12" borderId="18" xfId="1" applyFont="1" applyFill="1" applyBorder="1" applyAlignment="1">
      <alignment horizontal="right" wrapText="1"/>
    </xf>
    <xf numFmtId="0" fontId="10" fillId="13" borderId="19" xfId="1" applyFont="1" applyFill="1" applyBorder="1" applyAlignment="1">
      <alignment horizontal="center" wrapText="1"/>
    </xf>
    <xf numFmtId="164" fontId="9" fillId="11" borderId="20" xfId="3" applyNumberFormat="1" applyFont="1" applyFill="1" applyBorder="1" applyAlignment="1">
      <alignment wrapText="1"/>
    </xf>
    <xf numFmtId="164" fontId="9" fillId="11" borderId="21" xfId="3" applyNumberFormat="1" applyFont="1" applyFill="1" applyBorder="1" applyAlignment="1">
      <alignment wrapText="1"/>
    </xf>
    <xf numFmtId="0" fontId="10" fillId="12" borderId="21" xfId="1" applyFont="1" applyFill="1" applyBorder="1" applyAlignment="1">
      <alignment horizontal="center" wrapText="1"/>
    </xf>
    <xf numFmtId="164" fontId="9" fillId="12" borderId="21" xfId="3" applyNumberFormat="1" applyFont="1" applyFill="1" applyBorder="1" applyAlignment="1">
      <alignment wrapText="1"/>
    </xf>
    <xf numFmtId="9" fontId="9" fillId="12" borderId="22" xfId="2" applyFont="1" applyFill="1" applyBorder="1" applyAlignment="1">
      <alignment wrapText="1"/>
    </xf>
    <xf numFmtId="0" fontId="10" fillId="13" borderId="23" xfId="1" applyFont="1" applyFill="1" applyBorder="1" applyAlignment="1">
      <alignment wrapText="1"/>
    </xf>
    <xf numFmtId="0" fontId="9" fillId="12" borderId="10" xfId="1" applyFont="1" applyFill="1" applyBorder="1" applyAlignment="1">
      <alignment horizontal="right" wrapText="1"/>
    </xf>
    <xf numFmtId="9" fontId="9" fillId="0" borderId="24" xfId="0" applyNumberFormat="1" applyFont="1" applyBorder="1" applyAlignment="1">
      <alignment horizontal="center" wrapText="1"/>
    </xf>
    <xf numFmtId="164" fontId="9" fillId="11" borderId="25" xfId="3" applyNumberFormat="1" applyFont="1" applyFill="1" applyBorder="1" applyAlignment="1">
      <alignment wrapText="1"/>
    </xf>
    <xf numFmtId="164" fontId="9" fillId="11" borderId="10" xfId="3" applyNumberFormat="1" applyFont="1" applyFill="1" applyBorder="1" applyAlignment="1">
      <alignment wrapText="1"/>
    </xf>
    <xf numFmtId="0" fontId="10" fillId="13" borderId="26" xfId="1" applyFont="1" applyFill="1" applyBorder="1" applyAlignment="1">
      <alignment wrapText="1"/>
    </xf>
    <xf numFmtId="0" fontId="9" fillId="12" borderId="3" xfId="1" applyFont="1" applyFill="1" applyBorder="1" applyAlignment="1">
      <alignment horizontal="right" wrapText="1"/>
    </xf>
    <xf numFmtId="0" fontId="10" fillId="13" borderId="27" xfId="1" applyFont="1" applyFill="1" applyBorder="1" applyAlignment="1">
      <alignment wrapText="1"/>
    </xf>
    <xf numFmtId="0" fontId="9" fillId="12" borderId="13" xfId="1" applyFont="1" applyFill="1" applyBorder="1" applyAlignment="1">
      <alignment horizontal="right" wrapText="1"/>
    </xf>
    <xf numFmtId="9" fontId="9" fillId="0" borderId="28" xfId="0" applyNumberFormat="1" applyFont="1" applyBorder="1" applyAlignment="1">
      <alignment horizontal="center" wrapText="1"/>
    </xf>
    <xf numFmtId="164" fontId="9" fillId="11" borderId="29" xfId="3" applyNumberFormat="1" applyFont="1" applyFill="1" applyBorder="1" applyAlignment="1">
      <alignment wrapText="1"/>
    </xf>
    <xf numFmtId="164" fontId="9" fillId="11" borderId="13" xfId="3" applyNumberFormat="1" applyFont="1" applyFill="1" applyBorder="1" applyAlignment="1">
      <alignment wrapText="1"/>
    </xf>
    <xf numFmtId="0" fontId="9" fillId="12" borderId="13" xfId="1" applyFont="1" applyFill="1" applyBorder="1" applyAlignment="1">
      <alignment horizontal="center" wrapText="1"/>
    </xf>
    <xf numFmtId="0" fontId="8" fillId="0" borderId="0" xfId="0" applyFont="1" applyAlignment="1"/>
    <xf numFmtId="9" fontId="9" fillId="7" borderId="1" xfId="0" applyNumberFormat="1" applyFont="1" applyFill="1" applyBorder="1" applyAlignment="1">
      <alignment horizontal="center" wrapText="1"/>
    </xf>
    <xf numFmtId="1" fontId="2" fillId="7" borderId="1" xfId="0" applyNumberFormat="1" applyFont="1" applyFill="1" applyBorder="1"/>
    <xf numFmtId="0" fontId="1" fillId="7" borderId="0" xfId="0" applyFont="1" applyFill="1" applyAlignment="1">
      <alignment horizontal="center"/>
    </xf>
    <xf numFmtId="0" fontId="0" fillId="0" borderId="0" xfId="0" applyAlignment="1">
      <alignment horizontal="center"/>
    </xf>
    <xf numFmtId="1" fontId="1" fillId="7" borderId="1" xfId="0" applyNumberFormat="1" applyFont="1" applyFill="1" applyBorder="1"/>
    <xf numFmtId="0" fontId="9" fillId="5" borderId="0" xfId="0" applyFont="1" applyFill="1" applyBorder="1" applyAlignment="1"/>
    <xf numFmtId="0" fontId="9" fillId="0" borderId="0" xfId="0" applyFont="1" applyBorder="1" applyAlignment="1">
      <alignment wrapText="1"/>
    </xf>
    <xf numFmtId="0" fontId="10" fillId="10" borderId="4" xfId="0" applyFont="1" applyFill="1" applyBorder="1" applyAlignment="1">
      <alignment horizontal="left" wrapText="1"/>
    </xf>
    <xf numFmtId="164" fontId="10" fillId="10" borderId="1" xfId="3" applyNumberFormat="1" applyFont="1" applyFill="1" applyBorder="1" applyAlignment="1">
      <alignment horizontal="left" wrapText="1"/>
    </xf>
    <xf numFmtId="0" fontId="10" fillId="10" borderId="1" xfId="0" applyFont="1" applyFill="1" applyBorder="1" applyAlignment="1">
      <alignment horizontal="left" wrapText="1"/>
    </xf>
    <xf numFmtId="164" fontId="10" fillId="10" borderId="2" xfId="3" applyNumberFormat="1" applyFont="1" applyFill="1" applyBorder="1" applyAlignment="1">
      <alignment horizontal="left" wrapText="1"/>
    </xf>
    <xf numFmtId="0" fontId="10" fillId="9" borderId="1" xfId="0" applyFont="1" applyFill="1" applyBorder="1" applyAlignment="1">
      <alignment horizontal="left" wrapText="1"/>
    </xf>
    <xf numFmtId="0" fontId="8" fillId="0" borderId="0" xfId="0" applyFont="1" applyAlignment="1">
      <alignment horizontal="center"/>
    </xf>
    <xf numFmtId="0" fontId="1" fillId="0" borderId="0" xfId="0" applyFont="1" applyAlignment="1">
      <alignment horizontal="center"/>
    </xf>
  </cellXfs>
  <cellStyles count="4">
    <cellStyle name="Calculation" xfId="1" builtinId="22"/>
    <cellStyle name="Comma" xfId="3" builtinId="3"/>
    <cellStyle name="Normal" xfId="0" builtinId="0"/>
    <cellStyle name="Percent" xfId="2" builtinId="5"/>
  </cellStyles>
  <dxfs count="3">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Sprint</a:t>
            </a:r>
            <a:r>
              <a:rPr lang="en-US" sz="1600" baseline="0"/>
              <a:t> planning</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Chart'!$B$2:$B$6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70121088"/>
        <c:axId val="170122624"/>
      </c:barChart>
      <c:lineChart>
        <c:grouping val="standard"/>
        <c:varyColors val="0"/>
        <c:ser>
          <c:idx val="2"/>
          <c:order val="1"/>
          <c:tx>
            <c:strRef>
              <c:f>'Velocity Chart'!$C$1</c:f>
              <c:strCache>
                <c:ptCount val="1"/>
                <c:pt idx="0">
                  <c:v>Average</c:v>
                </c:pt>
              </c:strCache>
            </c:strRef>
          </c:tx>
          <c:marker>
            <c:symbol val="none"/>
          </c:marker>
          <c:val>
            <c:numRef>
              <c:f>'Velocity Chart'!$C$2:$C$6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Chart'!$D$2:$D$6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Chart'!$E$2:$E$6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70121088"/>
        <c:axId val="170122624"/>
      </c:lineChart>
      <c:catAx>
        <c:axId val="170121088"/>
        <c:scaling>
          <c:orientation val="minMax"/>
        </c:scaling>
        <c:delete val="0"/>
        <c:axPos val="b"/>
        <c:majorTickMark val="out"/>
        <c:minorTickMark val="none"/>
        <c:tickLblPos val="nextTo"/>
        <c:crossAx val="170122624"/>
        <c:crosses val="autoZero"/>
        <c:auto val="1"/>
        <c:lblAlgn val="ctr"/>
        <c:lblOffset val="100"/>
        <c:noMultiLvlLbl val="0"/>
      </c:catAx>
      <c:valAx>
        <c:axId val="170122624"/>
        <c:scaling>
          <c:orientation val="minMax"/>
        </c:scaling>
        <c:delete val="0"/>
        <c:axPos val="l"/>
        <c:majorGridlines/>
        <c:numFmt formatCode="_-* #,##0\ _k_r_-;\-* #,##0\ _k_r_-;_-* &quot;-&quot;??\ _k_r_-;_-@_-" sourceLinked="1"/>
        <c:majorTickMark val="out"/>
        <c:minorTickMark val="none"/>
        <c:tickLblPos val="nextTo"/>
        <c:crossAx val="1701210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Original </a:t>
            </a:r>
            <a:r>
              <a:rPr lang="en-US" sz="1600" baseline="0"/>
              <a:t>Estimates</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Chart'!$B$21:$B$25</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69888000"/>
        <c:axId val="169897984"/>
      </c:barChart>
      <c:lineChart>
        <c:grouping val="standard"/>
        <c:varyColors val="0"/>
        <c:ser>
          <c:idx val="2"/>
          <c:order val="1"/>
          <c:tx>
            <c:strRef>
              <c:f>'Velocity Chart'!$C$1</c:f>
              <c:strCache>
                <c:ptCount val="1"/>
                <c:pt idx="0">
                  <c:v>Average</c:v>
                </c:pt>
              </c:strCache>
            </c:strRef>
          </c:tx>
          <c:marker>
            <c:symbol val="none"/>
          </c:marker>
          <c:val>
            <c:numRef>
              <c:f>'Velocity Chart'!$C$21:$C$25</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Chart'!$D$21:$D$25</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Chart'!$E$21:$E$25</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69888000"/>
        <c:axId val="169897984"/>
      </c:lineChart>
      <c:catAx>
        <c:axId val="169888000"/>
        <c:scaling>
          <c:orientation val="minMax"/>
        </c:scaling>
        <c:delete val="0"/>
        <c:axPos val="b"/>
        <c:majorTickMark val="out"/>
        <c:minorTickMark val="none"/>
        <c:tickLblPos val="nextTo"/>
        <c:crossAx val="169897984"/>
        <c:crosses val="autoZero"/>
        <c:auto val="1"/>
        <c:lblAlgn val="ctr"/>
        <c:lblOffset val="100"/>
        <c:noMultiLvlLbl val="0"/>
      </c:catAx>
      <c:valAx>
        <c:axId val="169897984"/>
        <c:scaling>
          <c:orientation val="minMax"/>
        </c:scaling>
        <c:delete val="0"/>
        <c:axPos val="l"/>
        <c:majorGridlines/>
        <c:numFmt formatCode="_-* #,##0\ _k_r_-;\-* #,##0\ _k_r_-;_-* &quot;-&quot;??\ _k_r_-;_-@_-" sourceLinked="1"/>
        <c:majorTickMark val="out"/>
        <c:minorTickMark val="none"/>
        <c:tickLblPos val="nextTo"/>
        <c:crossAx val="169888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Time Spent</a:t>
            </a:r>
            <a:endParaRPr lang="en-US" sz="1600" baseline="0"/>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Chart'!$B$42:$B$46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69933440"/>
        <c:axId val="171389312"/>
      </c:barChart>
      <c:lineChart>
        <c:grouping val="standard"/>
        <c:varyColors val="0"/>
        <c:ser>
          <c:idx val="2"/>
          <c:order val="1"/>
          <c:tx>
            <c:strRef>
              <c:f>'Velocity Chart'!$C$1</c:f>
              <c:strCache>
                <c:ptCount val="1"/>
                <c:pt idx="0">
                  <c:v>Average</c:v>
                </c:pt>
              </c:strCache>
            </c:strRef>
          </c:tx>
          <c:marker>
            <c:symbol val="none"/>
          </c:marker>
          <c:val>
            <c:numRef>
              <c:f>'Velocity Chart'!$C$42:$C$46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Chart'!$D$42:$D$46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Chart'!$E$42:$E$46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69933440"/>
        <c:axId val="171389312"/>
      </c:lineChart>
      <c:catAx>
        <c:axId val="169933440"/>
        <c:scaling>
          <c:orientation val="minMax"/>
        </c:scaling>
        <c:delete val="0"/>
        <c:axPos val="b"/>
        <c:majorTickMark val="out"/>
        <c:minorTickMark val="none"/>
        <c:tickLblPos val="nextTo"/>
        <c:crossAx val="171389312"/>
        <c:crosses val="autoZero"/>
        <c:auto val="1"/>
        <c:lblAlgn val="ctr"/>
        <c:lblOffset val="100"/>
        <c:noMultiLvlLbl val="0"/>
      </c:catAx>
      <c:valAx>
        <c:axId val="171389312"/>
        <c:scaling>
          <c:orientation val="minMax"/>
        </c:scaling>
        <c:delete val="0"/>
        <c:axPos val="l"/>
        <c:majorGridlines/>
        <c:numFmt formatCode="_-* #,##0\ _k_r_-;\-* #,##0\ _k_r_-;_-* &quot;-&quot;??\ _k_r_-;_-@_-" sourceLinked="1"/>
        <c:majorTickMark val="out"/>
        <c:minorTickMark val="none"/>
        <c:tickLblPos val="nextTo"/>
        <c:crossAx val="1699334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Backlog Burndown Chart</a:t>
            </a:r>
          </a:p>
        </c:rich>
      </c:tx>
      <c:overlay val="0"/>
    </c:title>
    <c:autoTitleDeleted val="0"/>
    <c:plotArea>
      <c:layout/>
      <c:barChart>
        <c:barDir val="col"/>
        <c:grouping val="clustered"/>
        <c:varyColors val="0"/>
        <c:ser>
          <c:idx val="0"/>
          <c:order val="0"/>
          <c:tx>
            <c:strRef>
              <c:f>'Backlog Burndown Chart'!$B$10</c:f>
              <c:strCache>
                <c:ptCount val="1"/>
                <c:pt idx="0">
                  <c:v>Velocity</c:v>
                </c:pt>
              </c:strCache>
            </c:strRef>
          </c:tx>
          <c:invertIfNegative val="0"/>
          <c:dLbls>
            <c:dLblPos val="outEnd"/>
            <c:showLegendKey val="0"/>
            <c:showVal val="1"/>
            <c:showCatName val="0"/>
            <c:showSerName val="0"/>
            <c:showPercent val="0"/>
            <c:showBubbleSize val="0"/>
            <c:showLeaderLines val="0"/>
          </c:dLbls>
          <c:cat>
            <c:numRef>
              <c:f>'Backlog Burndown Chart'!$A$11:$A$16</c:f>
              <c:numCache>
                <c:formatCode>General</c:formatCode>
                <c:ptCount val="6"/>
                <c:pt idx="0">
                  <c:v>0</c:v>
                </c:pt>
                <c:pt idx="1">
                  <c:v>1</c:v>
                </c:pt>
                <c:pt idx="2">
                  <c:v>2</c:v>
                </c:pt>
                <c:pt idx="3">
                  <c:v>3</c:v>
                </c:pt>
                <c:pt idx="4">
                  <c:v>4</c:v>
                </c:pt>
                <c:pt idx="5">
                  <c:v>5</c:v>
                </c:pt>
              </c:numCache>
            </c:numRef>
          </c:cat>
          <c:val>
            <c:numRef>
              <c:f>'Backlog Burndown Chart'!$B$11:$B$16</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71408000"/>
        <c:axId val="171434752"/>
      </c:barChart>
      <c:lineChart>
        <c:grouping val="standard"/>
        <c:varyColors val="0"/>
        <c:ser>
          <c:idx val="1"/>
          <c:order val="1"/>
          <c:tx>
            <c:strRef>
              <c:f>'Backlog Burndown Chart'!$C$10</c:f>
              <c:strCache>
                <c:ptCount val="1"/>
                <c:pt idx="0">
                  <c:v>Remaining Work</c:v>
                </c:pt>
              </c:strCache>
            </c:strRef>
          </c:tx>
          <c:cat>
            <c:numRef>
              <c:f>'Backlog Burndown Chart'!$A$11:$A$16</c:f>
              <c:numCache>
                <c:formatCode>General</c:formatCode>
                <c:ptCount val="6"/>
                <c:pt idx="0">
                  <c:v>0</c:v>
                </c:pt>
                <c:pt idx="1">
                  <c:v>1</c:v>
                </c:pt>
                <c:pt idx="2">
                  <c:v>2</c:v>
                </c:pt>
                <c:pt idx="3">
                  <c:v>3</c:v>
                </c:pt>
                <c:pt idx="4">
                  <c:v>4</c:v>
                </c:pt>
                <c:pt idx="5">
                  <c:v>5</c:v>
                </c:pt>
              </c:numCache>
            </c:numRef>
          </c:cat>
          <c:val>
            <c:numRef>
              <c:f>'Backlog Burndown Chart'!$C$11:$C$16</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71408000"/>
        <c:axId val="171434752"/>
      </c:lineChart>
      <c:catAx>
        <c:axId val="171408000"/>
        <c:scaling>
          <c:orientation val="minMax"/>
        </c:scaling>
        <c:delete val="0"/>
        <c:axPos val="b"/>
        <c:title>
          <c:tx>
            <c:rich>
              <a:bodyPr/>
              <a:lstStyle/>
              <a:p>
                <a:pPr>
                  <a:defRPr/>
                </a:pPr>
                <a:r>
                  <a:rPr lang="sv-SE"/>
                  <a:t>Sprint</a:t>
                </a:r>
                <a:r>
                  <a:rPr lang="sv-SE" baseline="0"/>
                  <a:t> #</a:t>
                </a:r>
                <a:endParaRPr lang="sv-SE"/>
              </a:p>
            </c:rich>
          </c:tx>
          <c:overlay val="0"/>
        </c:title>
        <c:numFmt formatCode="General" sourceLinked="1"/>
        <c:majorTickMark val="out"/>
        <c:minorTickMark val="none"/>
        <c:tickLblPos val="nextTo"/>
        <c:crossAx val="171434752"/>
        <c:crosses val="autoZero"/>
        <c:auto val="1"/>
        <c:lblAlgn val="ctr"/>
        <c:lblOffset val="100"/>
        <c:noMultiLvlLbl val="0"/>
      </c:catAx>
      <c:valAx>
        <c:axId val="171434752"/>
        <c:scaling>
          <c:orientation val="minMax"/>
        </c:scaling>
        <c:delete val="0"/>
        <c:axPos val="l"/>
        <c:majorGridlines/>
        <c:title>
          <c:tx>
            <c:rich>
              <a:bodyPr rot="-5400000" vert="horz"/>
              <a:lstStyle/>
              <a:p>
                <a:pPr>
                  <a:defRPr/>
                </a:pPr>
                <a:r>
                  <a:rPr lang="sv-SE"/>
                  <a:t>Hours</a:t>
                </a:r>
              </a:p>
            </c:rich>
          </c:tx>
          <c:overlay val="0"/>
        </c:title>
        <c:numFmt formatCode="0" sourceLinked="1"/>
        <c:majorTickMark val="out"/>
        <c:minorTickMark val="none"/>
        <c:tickLblPos val="nextTo"/>
        <c:crossAx val="1714080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Sprint</a:t>
            </a:r>
            <a:r>
              <a:rPr lang="sv-SE" baseline="0"/>
              <a:t> Burndown Chart</a:t>
            </a:r>
          </a:p>
        </c:rich>
      </c:tx>
      <c:overlay val="0"/>
    </c:title>
    <c:autoTitleDeleted val="0"/>
    <c:plotArea>
      <c:layout/>
      <c:lineChart>
        <c:grouping val="standard"/>
        <c:varyColors val="0"/>
        <c:ser>
          <c:idx val="0"/>
          <c:order val="0"/>
          <c:tx>
            <c:strRef>
              <c:f>'Sprint Burndown Chart'!$B$7</c:f>
              <c:strCache>
                <c:ptCount val="1"/>
                <c:pt idx="0">
                  <c:v>Sprint 1</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Chart'!$C$7:$H$7</c:f>
              <c:numCache>
                <c:formatCode>0</c:formatCode>
                <c:ptCount val="6"/>
                <c:pt idx="0">
                  <c:v>0</c:v>
                </c:pt>
                <c:pt idx="1">
                  <c:v>0</c:v>
                </c:pt>
                <c:pt idx="2">
                  <c:v>0</c:v>
                </c:pt>
                <c:pt idx="3">
                  <c:v>0</c:v>
                </c:pt>
                <c:pt idx="4">
                  <c:v>0</c:v>
                </c:pt>
                <c:pt idx="5">
                  <c:v>0</c:v>
                </c:pt>
              </c:numCache>
            </c:numRef>
          </c:val>
          <c:smooth val="0"/>
        </c:ser>
        <c:ser>
          <c:idx val="1"/>
          <c:order val="1"/>
          <c:tx>
            <c:strRef>
              <c:f>'Sprint Burndown Chart'!$B$8</c:f>
              <c:strCache>
                <c:ptCount val="1"/>
                <c:pt idx="0">
                  <c:v>Ideal Burndown</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Chart'!$C$8:$H$8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70891904"/>
        <c:axId val="170263296"/>
      </c:lineChart>
      <c:catAx>
        <c:axId val="170891904"/>
        <c:scaling>
          <c:orientation val="minMax"/>
        </c:scaling>
        <c:delete val="0"/>
        <c:axPos val="b"/>
        <c:title>
          <c:tx>
            <c:rich>
              <a:bodyPr/>
              <a:lstStyle/>
              <a:p>
                <a:pPr>
                  <a:defRPr/>
                </a:pPr>
                <a:r>
                  <a:rPr lang="en-US"/>
                  <a:t>Day in sprint</a:t>
                </a:r>
              </a:p>
            </c:rich>
          </c:tx>
          <c:overlay val="0"/>
        </c:title>
        <c:numFmt formatCode="General" sourceLinked="1"/>
        <c:majorTickMark val="none"/>
        <c:minorTickMark val="none"/>
        <c:tickLblPos val="nextTo"/>
        <c:crossAx val="170263296"/>
        <c:crosses val="autoZero"/>
        <c:auto val="1"/>
        <c:lblAlgn val="ctr"/>
        <c:lblOffset val="100"/>
        <c:noMultiLvlLbl val="0"/>
      </c:catAx>
      <c:valAx>
        <c:axId val="170263296"/>
        <c:scaling>
          <c:orientation val="minMax"/>
        </c:scaling>
        <c:delete val="0"/>
        <c:axPos val="l"/>
        <c:majorGridlines/>
        <c:title>
          <c:tx>
            <c:rich>
              <a:bodyPr/>
              <a:lstStyle/>
              <a:p>
                <a:pPr>
                  <a:defRPr/>
                </a:pPr>
                <a:r>
                  <a:rPr lang="sv-SE"/>
                  <a:t>Hours Remaining</a:t>
                </a:r>
              </a:p>
            </c:rich>
          </c:tx>
          <c:overlay val="0"/>
        </c:title>
        <c:numFmt formatCode="0" sourceLinked="1"/>
        <c:majorTickMark val="none"/>
        <c:minorTickMark val="none"/>
        <c:tickLblPos val="nextTo"/>
        <c:crossAx val="170891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1104900</xdr:colOff>
          <xdr:row>2</xdr:row>
          <xdr:rowOff>9525</xdr:rowOff>
        </xdr:from>
        <xdr:to>
          <xdr:col>4</xdr:col>
          <xdr:colOff>0</xdr:colOff>
          <xdr:row>3</xdr:row>
          <xdr:rowOff>133350</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276225</xdr:colOff>
      <xdr:row>1</xdr:row>
      <xdr:rowOff>14287</xdr:rowOff>
    </xdr:from>
    <xdr:to>
      <xdr:col>12</xdr:col>
      <xdr:colOff>581025</xdr:colOff>
      <xdr:row>18</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20</xdr:row>
      <xdr:rowOff>19050</xdr:rowOff>
    </xdr:from>
    <xdr:to>
      <xdr:col>13</xdr:col>
      <xdr:colOff>0</xdr:colOff>
      <xdr:row>37</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39</xdr:row>
      <xdr:rowOff>57150</xdr:rowOff>
    </xdr:from>
    <xdr:to>
      <xdr:col>12</xdr:col>
      <xdr:colOff>590550</xdr:colOff>
      <xdr:row>56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1</xdr:row>
      <xdr:rowOff>0</xdr:rowOff>
    </xdr:from>
    <xdr:to>
      <xdr:col>16</xdr:col>
      <xdr:colOff>133350</xdr:colOff>
      <xdr:row>27</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9</xdr:row>
      <xdr:rowOff>152400</xdr:rowOff>
    </xdr:from>
    <xdr:to>
      <xdr:col>8</xdr:col>
      <xdr:colOff>533400</xdr:colOff>
      <xdr:row>26</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AQ45"/>
  <sheetViews>
    <sheetView tabSelected="1" zoomScale="90" zoomScaleNormal="90" workbookViewId="0">
      <pane xSplit="4" ySplit="5" topLeftCell="F7" activePane="bottomRight" state="frozen"/>
      <selection pane="topRight" activeCell="C1" sqref="C1"/>
      <selection pane="bottomLeft" activeCell="A2" sqref="A2"/>
      <selection pane="bottomRight" activeCell="N13" sqref="N13"/>
    </sheetView>
  </sheetViews>
  <sheetFormatPr defaultColWidth="93.85546875" defaultRowHeight="11.25" x14ac:dyDescent="0.2"/>
  <cols>
    <col min="1" max="1" width="4" style="19" customWidth="1"/>
    <col min="2" max="2" width="8.7109375" style="19" hidden="1" customWidth="1"/>
    <col min="3" max="3" width="11.85546875" style="25" customWidth="1"/>
    <col min="4" max="4" width="43.140625" style="19" customWidth="1"/>
    <col min="5" max="5" width="20.42578125" style="19" customWidth="1"/>
    <col min="6" max="6" width="23.42578125" style="19" customWidth="1"/>
    <col min="7" max="7" width="30.7109375" style="15" customWidth="1"/>
    <col min="8" max="8" width="41.42578125" style="15" customWidth="1"/>
    <col min="9" max="9" width="15" style="19" hidden="1" customWidth="1"/>
    <col min="10" max="10" width="8.42578125" style="19" hidden="1" customWidth="1"/>
    <col min="11" max="11" width="18.85546875" style="15" hidden="1" customWidth="1"/>
    <col min="12" max="12" width="25.5703125" style="15" customWidth="1"/>
    <col min="13" max="13" width="11.85546875" style="15" customWidth="1"/>
    <col min="14" max="14" width="11.7109375" style="29" customWidth="1"/>
    <col min="15" max="15" width="15" style="19" customWidth="1"/>
    <col min="16" max="16" width="33.42578125" style="19" customWidth="1"/>
    <col min="17" max="17" width="7.28515625" style="19" customWidth="1"/>
    <col min="18" max="18" width="8.7109375" style="19" customWidth="1"/>
    <col min="19" max="19" width="10.28515625" style="19" customWidth="1"/>
    <col min="20" max="20" width="14.7109375" style="25" customWidth="1"/>
    <col min="21" max="22" width="9.42578125" style="85" hidden="1" customWidth="1"/>
    <col min="23" max="23" width="11.42578125" style="85" hidden="1" customWidth="1"/>
    <col min="24" max="24" width="12.7109375" style="85" hidden="1" customWidth="1"/>
    <col min="25" max="25" width="10.5703125" style="25" customWidth="1"/>
    <col min="26" max="26" width="11.140625" style="25" customWidth="1"/>
    <col min="27" max="28" width="20.42578125" style="88" hidden="1" customWidth="1"/>
    <col min="29" max="29" width="20.5703125" style="85" hidden="1" customWidth="1"/>
    <col min="30" max="30" width="12.140625" style="19" customWidth="1"/>
    <col min="31" max="31" width="15.28515625" style="19" customWidth="1"/>
    <col min="32" max="32" width="15.5703125" style="15" hidden="1" customWidth="1"/>
    <col min="33" max="33" width="12.5703125" style="15" hidden="1" customWidth="1"/>
    <col min="34" max="34" width="18" style="15" hidden="1" customWidth="1"/>
    <col min="35" max="35" width="17.42578125" style="15" hidden="1" customWidth="1"/>
    <col min="36" max="36" width="2.5703125" style="26" customWidth="1"/>
    <col min="37" max="37" width="15.7109375" style="15" customWidth="1"/>
    <col min="38" max="38" width="27.140625" style="15" customWidth="1"/>
    <col min="39" max="39" width="22.5703125" style="15" customWidth="1"/>
    <col min="40" max="40" width="36.28515625" style="15" customWidth="1"/>
    <col min="41" max="41" width="4.5703125" style="26" customWidth="1"/>
    <col min="42" max="42" width="12.140625" style="15" customWidth="1"/>
    <col min="43" max="43" width="15.42578125" style="15" customWidth="1"/>
    <col min="44" max="16384" width="93.85546875" style="19"/>
  </cols>
  <sheetData>
    <row r="1" spans="1:43" ht="15.75" x14ac:dyDescent="0.25">
      <c r="D1" s="134" t="s">
        <v>83</v>
      </c>
      <c r="F1" s="134"/>
      <c r="G1" s="134"/>
    </row>
    <row r="2" spans="1:43" x14ac:dyDescent="0.2">
      <c r="D2" s="19" t="s">
        <v>96</v>
      </c>
    </row>
    <row r="3" spans="1:43" ht="15.75" x14ac:dyDescent="0.25">
      <c r="A3" s="134"/>
      <c r="C3" s="134"/>
      <c r="D3" s="134"/>
    </row>
    <row r="5" spans="1:43" s="35" customFormat="1" ht="33.75" x14ac:dyDescent="0.2">
      <c r="A5" s="32" t="s">
        <v>0</v>
      </c>
      <c r="B5" s="32" t="s">
        <v>89</v>
      </c>
      <c r="C5" s="146" t="s">
        <v>51</v>
      </c>
      <c r="D5" s="32" t="s">
        <v>52</v>
      </c>
      <c r="E5" s="32" t="s">
        <v>2</v>
      </c>
      <c r="F5" s="32" t="s">
        <v>56</v>
      </c>
      <c r="G5" s="32" t="s">
        <v>57</v>
      </c>
      <c r="H5" s="32" t="s">
        <v>58</v>
      </c>
      <c r="I5" s="32" t="s">
        <v>84</v>
      </c>
      <c r="J5" s="32" t="s">
        <v>86</v>
      </c>
      <c r="K5" s="32" t="s">
        <v>97</v>
      </c>
      <c r="L5" s="32" t="s">
        <v>55</v>
      </c>
      <c r="M5" s="32" t="s">
        <v>24</v>
      </c>
      <c r="N5" s="33" t="s">
        <v>25</v>
      </c>
      <c r="O5" s="32" t="s">
        <v>85</v>
      </c>
      <c r="P5" s="32" t="s">
        <v>23</v>
      </c>
      <c r="Q5" s="144" t="s">
        <v>16</v>
      </c>
      <c r="R5" s="144" t="s">
        <v>18</v>
      </c>
      <c r="S5" s="144" t="s">
        <v>17</v>
      </c>
      <c r="T5" s="41" t="s">
        <v>54</v>
      </c>
      <c r="U5" s="145" t="s">
        <v>19</v>
      </c>
      <c r="V5" s="145" t="s">
        <v>95</v>
      </c>
      <c r="W5" s="143" t="s">
        <v>20</v>
      </c>
      <c r="X5" s="143" t="s">
        <v>21</v>
      </c>
      <c r="Y5" s="41" t="s">
        <v>60</v>
      </c>
      <c r="Z5" s="41" t="s">
        <v>61</v>
      </c>
      <c r="AA5" s="143" t="s">
        <v>82</v>
      </c>
      <c r="AB5" s="143" t="s">
        <v>91</v>
      </c>
      <c r="AC5" s="143" t="s">
        <v>49</v>
      </c>
      <c r="AD5" s="144" t="s">
        <v>46</v>
      </c>
      <c r="AE5" s="144" t="s">
        <v>59</v>
      </c>
      <c r="AF5" s="142" t="s">
        <v>31</v>
      </c>
      <c r="AG5" s="142" t="s">
        <v>30</v>
      </c>
      <c r="AH5" s="142" t="s">
        <v>37</v>
      </c>
      <c r="AI5" s="142" t="s">
        <v>38</v>
      </c>
      <c r="AJ5" s="34"/>
      <c r="AK5" s="142" t="s">
        <v>1</v>
      </c>
      <c r="AL5" s="142" t="s">
        <v>3</v>
      </c>
      <c r="AM5" s="142" t="s">
        <v>4</v>
      </c>
      <c r="AN5" s="142" t="s">
        <v>8</v>
      </c>
      <c r="AO5" s="34"/>
      <c r="AP5" s="142" t="s">
        <v>15</v>
      </c>
      <c r="AQ5" s="142" t="s">
        <v>7</v>
      </c>
    </row>
    <row r="6" spans="1:43" ht="33.75" hidden="1" x14ac:dyDescent="0.2">
      <c r="A6" s="20"/>
      <c r="B6" s="21"/>
      <c r="C6" s="36">
        <f t="shared" ref="C6:C32" ca="1" si="0">AC6</f>
        <v>0</v>
      </c>
      <c r="D6" s="37" t="s">
        <v>100</v>
      </c>
      <c r="E6" s="21"/>
      <c r="F6" s="21"/>
      <c r="G6" s="22"/>
      <c r="H6" s="22"/>
      <c r="I6" s="21" t="s">
        <v>90</v>
      </c>
      <c r="J6" s="21" t="s">
        <v>88</v>
      </c>
      <c r="K6" s="22"/>
      <c r="L6" s="22"/>
      <c r="M6" s="22"/>
      <c r="N6" s="28"/>
      <c r="O6" s="21"/>
      <c r="P6" s="30"/>
      <c r="Q6" s="22"/>
      <c r="R6" s="22"/>
      <c r="S6" s="22"/>
      <c r="T6" s="83"/>
      <c r="U6" s="86">
        <f t="shared" ref="U6:U37" si="1">(Q6+(3*S6)+R6)/5</f>
        <v>0</v>
      </c>
      <c r="V6" s="86">
        <f>IF(U6&gt;32,100,IF(U6&gt;16,32,IF(U6&gt;8,16,IF(U6&gt;4,8,IF(U6&gt;2,4,IF(U6&gt;1,2,IF(U6&gt;0,1,0)))))))</f>
        <v>0</v>
      </c>
      <c r="W6" s="87">
        <f t="shared" ref="W6:W32" si="2">(R6-Q6)/5</f>
        <v>0</v>
      </c>
      <c r="X6" s="87">
        <f t="shared" ref="X6:X38" si="3">W6*W6</f>
        <v>0</v>
      </c>
      <c r="Y6" s="36">
        <f t="shared" ref="Y6:Y37" si="4">ROUND(U6-(ROUND(SQRT(X6),0)),0)</f>
        <v>0</v>
      </c>
      <c r="Z6" s="36">
        <f t="shared" ref="Z6:Z37" si="5">ROUND(U6+(ROUND(SQRT(X6),0)),0)</f>
        <v>0</v>
      </c>
      <c r="AA6" s="89">
        <f ca="1">IF(ROW(U6)=6,U6,U6+OFFSET(AA6,-1,0))</f>
        <v>0</v>
      </c>
      <c r="AB6" s="89">
        <f>SQRT(SUM(X$6:X6))</f>
        <v>0</v>
      </c>
      <c r="AC6" s="89">
        <f t="shared" ref="AC6:AC32" ca="1" si="6">AA6+AB6</f>
        <v>0</v>
      </c>
      <c r="AD6" s="42">
        <f t="shared" ref="AD6:AD38" si="7">IFERROR(W6/U6,0)</f>
        <v>0</v>
      </c>
      <c r="AE6" s="42">
        <f t="shared" ref="AE6:AE32" si="8">IFERROR(X6/SUMIF(T$6:T$32,T6,X$6:X$32),0)</f>
        <v>0</v>
      </c>
      <c r="AF6" s="38">
        <f ca="1">IFERROR(IF(VLOOKUP($A6,Tasks!$X$4:$AC$30,COLUMN(Tasks!$Y$4)-COLUMN(Tasks!$X$4)+1,FALSE)&gt;0,1,0),0)</f>
        <v>0</v>
      </c>
      <c r="AG6" s="39">
        <f ca="1">IF(AF6,IFERROR(VLOOKUP($A6,Tasks!$X$4:$AC$30,COLUMN(Tasks!$Y$4)-COLUMN(Tasks!$X$4)+1,FALSE),0),U6)</f>
        <v>0</v>
      </c>
      <c r="AH6" s="39">
        <f ca="1">IF(AF6,IFERROR(VLOOKUP($A6,Tasks!$X$4:$AC$30,COLUMN(Tasks!$AB$4)-COLUMN(Tasks!$X$4)+1,FALSE),0),Y6)</f>
        <v>0</v>
      </c>
      <c r="AI6" s="39">
        <f ca="1">IF(AF6,IFERROR(VLOOKUP($A6,Tasks!$X$4:$AC$30,COLUMN(Tasks!$AC$4)-COLUMN(Tasks!$X$4)+1,FALSE),0),Z6)</f>
        <v>0</v>
      </c>
      <c r="AJ6" s="18"/>
      <c r="AK6" s="22"/>
      <c r="AL6" s="22"/>
      <c r="AM6" s="22" t="s">
        <v>39</v>
      </c>
      <c r="AN6" s="22"/>
      <c r="AO6" s="18"/>
      <c r="AP6" s="22"/>
      <c r="AQ6" s="24"/>
    </row>
    <row r="7" spans="1:43" ht="56.25" x14ac:dyDescent="0.2">
      <c r="A7" s="20"/>
      <c r="B7" s="21"/>
      <c r="C7" s="36">
        <f t="shared" ca="1" si="0"/>
        <v>0</v>
      </c>
      <c r="D7" s="37" t="str">
        <f>CONCATENATE(Parameters!$B$2,F7,CHAR(10),Parameters!$B$3,G7,CHAR(10),Parameters!$B$4,H7)</f>
        <v>GIVEN  you are logged in to the system as test lead, Master editor, Local editor
WHEN chosing to create a test sequence
THEN  you should be able to add test cases and save and name test sequence with a uniqe name</v>
      </c>
      <c r="E7" s="140"/>
      <c r="F7" s="22" t="s">
        <v>131</v>
      </c>
      <c r="G7" s="22" t="s">
        <v>101</v>
      </c>
      <c r="H7" s="22" t="s">
        <v>130</v>
      </c>
      <c r="I7" s="21"/>
      <c r="J7" s="21" t="s">
        <v>88</v>
      </c>
      <c r="K7" s="22"/>
      <c r="L7" s="22"/>
      <c r="M7" s="22" t="s">
        <v>134</v>
      </c>
      <c r="N7" s="28"/>
      <c r="O7" s="21"/>
      <c r="P7" s="30"/>
      <c r="Q7" s="22"/>
      <c r="R7" s="22"/>
      <c r="S7" s="22"/>
      <c r="T7" s="83"/>
      <c r="U7" s="86">
        <f t="shared" si="1"/>
        <v>0</v>
      </c>
      <c r="V7" s="86">
        <f t="shared" ref="V7:V32" si="9">IF(U7&gt;32,100,IF(U7&gt;16,32,IF(U7&gt;8,16,IF(U7&gt;4,8,IF(U7&gt;2,4,IF(U7&gt;1,2,IF(U7&gt;0,1,0)))))))</f>
        <v>0</v>
      </c>
      <c r="W7" s="87">
        <f t="shared" si="2"/>
        <v>0</v>
      </c>
      <c r="X7" s="87">
        <f t="shared" si="3"/>
        <v>0</v>
      </c>
      <c r="Y7" s="36">
        <f t="shared" si="4"/>
        <v>0</v>
      </c>
      <c r="Z7" s="36">
        <f t="shared" si="5"/>
        <v>0</v>
      </c>
      <c r="AA7" s="89">
        <f t="shared" ref="AA7:AA32" ca="1" si="10">IF(ROW(U7)=6,U7,U7+OFFSET(AA7,-1,0))</f>
        <v>0</v>
      </c>
      <c r="AB7" s="89">
        <f>SQRT(SUM(X$6:X7))</f>
        <v>0</v>
      </c>
      <c r="AC7" s="89">
        <f t="shared" ca="1" si="6"/>
        <v>0</v>
      </c>
      <c r="AD7" s="42">
        <f t="shared" si="7"/>
        <v>0</v>
      </c>
      <c r="AE7" s="42">
        <f t="shared" si="8"/>
        <v>0</v>
      </c>
      <c r="AF7" s="38">
        <f ca="1">IFERROR(IF(VLOOKUP($A7,Tasks!$X$4:$AC$30,COLUMN(Tasks!$Y$4)-COLUMN(Tasks!$X$4)+1,FALSE)&gt;0,1,0),0)</f>
        <v>0</v>
      </c>
      <c r="AG7" s="39">
        <f ca="1">IF(AF7,IFERROR(VLOOKUP($A7,Tasks!$X$4:$AC$30,COLUMN(Tasks!$Y$4)-COLUMN(Tasks!$X$4)+1,FALSE),0),U7)</f>
        <v>0</v>
      </c>
      <c r="AH7" s="39">
        <f ca="1">IF(AF7,IFERROR(VLOOKUP($A7,Tasks!$X$4:$AC$30,COLUMN(Tasks!$AB$4)-COLUMN(Tasks!$X$4)+1,FALSE),0),Y7)</f>
        <v>0</v>
      </c>
      <c r="AI7" s="39">
        <f ca="1">IF(AF7,IFERROR(VLOOKUP($A7,Tasks!$X$4:$AC$30,COLUMN(Tasks!$AC$4)-COLUMN(Tasks!$X$4)+1,FALSE),0),Z7)</f>
        <v>0</v>
      </c>
      <c r="AJ7" s="18"/>
      <c r="AK7" s="22"/>
      <c r="AL7" s="141"/>
      <c r="AM7" s="22" t="s">
        <v>39</v>
      </c>
      <c r="AN7" s="22"/>
      <c r="AO7" s="18"/>
      <c r="AP7" s="22"/>
      <c r="AQ7" s="22"/>
    </row>
    <row r="8" spans="1:43" ht="101.25" x14ac:dyDescent="0.2">
      <c r="A8" s="20"/>
      <c r="B8" s="21"/>
      <c r="C8" s="36">
        <f t="shared" ca="1" si="0"/>
        <v>0</v>
      </c>
      <c r="D8" s="37" t="str">
        <f>CONCATENATE(Parameters!$B$2,F8,CHAR(10),Parameters!$B$3,G8,CHAR(10),Parameters!$B$4,H8)</f>
        <v>GIVEN you are logged in as test lead, local editor, master editor
WHEN  chosing to create a test routine
THEN you should be able to add description and create a protocol(Add activities as check list).
You should aso be able to chose periodicity.(one time every morning other.)</v>
      </c>
      <c r="E8" s="20"/>
      <c r="F8" s="22" t="s">
        <v>102</v>
      </c>
      <c r="G8" s="22" t="s">
        <v>103</v>
      </c>
      <c r="H8" s="22" t="s">
        <v>133</v>
      </c>
      <c r="I8" s="21"/>
      <c r="J8" s="21" t="s">
        <v>88</v>
      </c>
      <c r="K8" s="22"/>
      <c r="L8" s="22"/>
      <c r="M8" s="22" t="s">
        <v>134</v>
      </c>
      <c r="N8" s="27"/>
      <c r="O8" s="21"/>
      <c r="P8" s="30" t="s">
        <v>132</v>
      </c>
      <c r="Q8" s="22"/>
      <c r="R8" s="22"/>
      <c r="S8" s="22"/>
      <c r="T8" s="83"/>
      <c r="U8" s="86">
        <f t="shared" si="1"/>
        <v>0</v>
      </c>
      <c r="V8" s="86">
        <f t="shared" si="9"/>
        <v>0</v>
      </c>
      <c r="W8" s="87">
        <f t="shared" si="2"/>
        <v>0</v>
      </c>
      <c r="X8" s="87">
        <f t="shared" si="3"/>
        <v>0</v>
      </c>
      <c r="Y8" s="36">
        <f t="shared" si="4"/>
        <v>0</v>
      </c>
      <c r="Z8" s="36">
        <f t="shared" si="5"/>
        <v>0</v>
      </c>
      <c r="AA8" s="89">
        <f t="shared" ca="1" si="10"/>
        <v>0</v>
      </c>
      <c r="AB8" s="89">
        <f>SQRT(SUM(X$6:X8))</f>
        <v>0</v>
      </c>
      <c r="AC8" s="89">
        <f t="shared" ca="1" si="6"/>
        <v>0</v>
      </c>
      <c r="AD8" s="42">
        <f t="shared" si="7"/>
        <v>0</v>
      </c>
      <c r="AE8" s="42">
        <f t="shared" si="8"/>
        <v>0</v>
      </c>
      <c r="AF8" s="38">
        <f ca="1">IFERROR(IF(VLOOKUP($A8,Tasks!$X$4:$AC$30,COLUMN(Tasks!$Y$4)-COLUMN(Tasks!$X$4)+1,FALSE)&gt;0,1,0),0)</f>
        <v>0</v>
      </c>
      <c r="AG8" s="39">
        <f ca="1">IF(AF8,IFERROR(VLOOKUP($A8,Tasks!$X$4:$AC$30,COLUMN(Tasks!$Y$4)-COLUMN(Tasks!$X$4)+1,FALSE),0),U8)</f>
        <v>0</v>
      </c>
      <c r="AH8" s="39">
        <f ca="1">IF(AF8,IFERROR(VLOOKUP($A8,Tasks!$X$4:$AC$30,COLUMN(Tasks!$AB$4)-COLUMN(Tasks!$X$4)+1,FALSE),0),Y8)</f>
        <v>0</v>
      </c>
      <c r="AI8" s="39">
        <f ca="1">IF(AF8,IFERROR(VLOOKUP($A8,Tasks!$X$4:$AC$30,COLUMN(Tasks!$AC$4)-COLUMN(Tasks!$X$4)+1,FALSE),0),Z8)</f>
        <v>0</v>
      </c>
      <c r="AJ8" s="18"/>
      <c r="AK8" s="22"/>
      <c r="AL8" s="22"/>
      <c r="AM8" s="22" t="s">
        <v>39</v>
      </c>
      <c r="AN8" s="22"/>
      <c r="AO8" s="18"/>
      <c r="AP8" s="22"/>
      <c r="AQ8" s="22"/>
    </row>
    <row r="9" spans="1:43" ht="202.5" x14ac:dyDescent="0.2">
      <c r="A9" s="20"/>
      <c r="B9" s="21"/>
      <c r="C9" s="36">
        <f t="shared" ca="1" si="0"/>
        <v>0</v>
      </c>
      <c r="D9" s="37" t="str">
        <f>CONCATENATE(Parameters!$B$2,F9,CHAR(10),Parameters!$B$3,G9,CHAR(10),Parameters!$B$4,H9)</f>
        <v xml:space="preserve">GIVEN you are logged in as test lead, local editor, master editor
WHEN  chosing to create a test case
THEN You should be able to chose to specify what node(truck function) the thest belongs to.
You should be able to add a description of the test and an expected result.
You should be able to chose for which variants and product class the test case are valid for.
Yoshould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v>
      </c>
      <c r="E9" s="21"/>
      <c r="F9" s="22" t="s">
        <v>102</v>
      </c>
      <c r="G9" s="22" t="s">
        <v>104</v>
      </c>
      <c r="H9" s="22" t="s">
        <v>136</v>
      </c>
      <c r="I9" s="21"/>
      <c r="J9" s="21" t="s">
        <v>88</v>
      </c>
      <c r="K9" s="22"/>
      <c r="L9" s="22" t="s">
        <v>135</v>
      </c>
      <c r="M9" s="22" t="s">
        <v>134</v>
      </c>
      <c r="N9" s="28"/>
      <c r="O9" s="21"/>
      <c r="P9" s="30"/>
      <c r="Q9" s="22"/>
      <c r="R9" s="22"/>
      <c r="S9" s="22"/>
      <c r="T9" s="83"/>
      <c r="U9" s="86">
        <f t="shared" si="1"/>
        <v>0</v>
      </c>
      <c r="V9" s="86">
        <f t="shared" si="9"/>
        <v>0</v>
      </c>
      <c r="W9" s="87">
        <f t="shared" si="2"/>
        <v>0</v>
      </c>
      <c r="X9" s="87">
        <f t="shared" si="3"/>
        <v>0</v>
      </c>
      <c r="Y9" s="36">
        <f t="shared" si="4"/>
        <v>0</v>
      </c>
      <c r="Z9" s="36">
        <f t="shared" si="5"/>
        <v>0</v>
      </c>
      <c r="AA9" s="89">
        <f t="shared" ca="1" si="10"/>
        <v>0</v>
      </c>
      <c r="AB9" s="89">
        <f>SQRT(SUM(X$6:X9))</f>
        <v>0</v>
      </c>
      <c r="AC9" s="89">
        <f t="shared" ca="1" si="6"/>
        <v>0</v>
      </c>
      <c r="AD9" s="42">
        <f t="shared" si="7"/>
        <v>0</v>
      </c>
      <c r="AE9" s="42">
        <f t="shared" si="8"/>
        <v>0</v>
      </c>
      <c r="AF9" s="38">
        <f ca="1">IFERROR(IF(VLOOKUP($A9,Tasks!$X$4:$AC$30,COLUMN(Tasks!$Y$4)-COLUMN(Tasks!$X$4)+1,FALSE)&gt;0,1,0),0)</f>
        <v>0</v>
      </c>
      <c r="AG9" s="39">
        <f ca="1">IF(AF9,IFERROR(VLOOKUP($A9,Tasks!$X$4:$AC$30,COLUMN(Tasks!$Y$4)-COLUMN(Tasks!$X$4)+1,FALSE),0),U9)</f>
        <v>0</v>
      </c>
      <c r="AH9" s="39">
        <f ca="1">IF(AF9,IFERROR(VLOOKUP($A9,Tasks!$X$4:$AC$30,COLUMN(Tasks!$AB$4)-COLUMN(Tasks!$X$4)+1,FALSE),0),Y9)</f>
        <v>0</v>
      </c>
      <c r="AI9" s="39">
        <f ca="1">IF(AF9,IFERROR(VLOOKUP($A9,Tasks!$X$4:$AC$30,COLUMN(Tasks!$AC$4)-COLUMN(Tasks!$X$4)+1,FALSE),0),Z9)</f>
        <v>0</v>
      </c>
      <c r="AJ9" s="31"/>
      <c r="AK9" s="23"/>
      <c r="AL9" s="22"/>
      <c r="AM9" s="22" t="s">
        <v>39</v>
      </c>
      <c r="AN9" s="23"/>
      <c r="AO9" s="18"/>
      <c r="AP9" s="23"/>
      <c r="AQ9" s="23"/>
    </row>
    <row r="10" spans="1:43" ht="56.25" x14ac:dyDescent="0.2">
      <c r="A10" s="20"/>
      <c r="B10" s="21"/>
      <c r="C10" s="36">
        <f t="shared" ca="1" si="0"/>
        <v>0</v>
      </c>
      <c r="D10" s="37" t="str">
        <f>CONCATENATE(Parameters!$B$2,F10,CHAR(10),Parameters!$B$3,G10,CHAR(10),Parameters!$B$4,H10)</f>
        <v xml:space="preserve">GIVEN you are logged in as test lead, local editor, master editor
WHEN chosing to edit a test case
THEN You should be able to edit data and save the test case.
Test case will get a new version.
The change will be logged(who and when).
</v>
      </c>
      <c r="E10" s="21"/>
      <c r="F10" s="22" t="s">
        <v>102</v>
      </c>
      <c r="G10" s="22" t="s">
        <v>105</v>
      </c>
      <c r="H10" s="22" t="s">
        <v>137</v>
      </c>
      <c r="I10" s="21"/>
      <c r="J10" s="21" t="s">
        <v>88</v>
      </c>
      <c r="K10" s="22"/>
      <c r="L10" s="22" t="s">
        <v>106</v>
      </c>
      <c r="M10" s="22" t="s">
        <v>134</v>
      </c>
      <c r="N10" s="28"/>
      <c r="O10" s="21"/>
      <c r="P10" s="30"/>
      <c r="Q10" s="22"/>
      <c r="R10" s="22"/>
      <c r="S10" s="22"/>
      <c r="T10" s="83"/>
      <c r="U10" s="86">
        <f t="shared" si="1"/>
        <v>0</v>
      </c>
      <c r="V10" s="86">
        <f t="shared" si="9"/>
        <v>0</v>
      </c>
      <c r="W10" s="87">
        <f t="shared" si="2"/>
        <v>0</v>
      </c>
      <c r="X10" s="87">
        <f t="shared" si="3"/>
        <v>0</v>
      </c>
      <c r="Y10" s="36">
        <f t="shared" si="4"/>
        <v>0</v>
      </c>
      <c r="Z10" s="36">
        <f t="shared" si="5"/>
        <v>0</v>
      </c>
      <c r="AA10" s="89">
        <f t="shared" ca="1" si="10"/>
        <v>0</v>
      </c>
      <c r="AB10" s="89">
        <f>SQRT(SUM(X$6:X10))</f>
        <v>0</v>
      </c>
      <c r="AC10" s="89">
        <f t="shared" ca="1" si="6"/>
        <v>0</v>
      </c>
      <c r="AD10" s="42">
        <f t="shared" si="7"/>
        <v>0</v>
      </c>
      <c r="AE10" s="42">
        <f t="shared" si="8"/>
        <v>0</v>
      </c>
      <c r="AF10" s="38">
        <f ca="1">IFERROR(IF(VLOOKUP($A10,Tasks!$X$4:$AC$30,COLUMN(Tasks!$Y$4)-COLUMN(Tasks!$X$4)+1,FALSE)&gt;0,1,0),0)</f>
        <v>0</v>
      </c>
      <c r="AG10" s="39">
        <f ca="1">IF(AF10,IFERROR(VLOOKUP($A10,Tasks!$X$4:$AC$30,COLUMN(Tasks!$Y$4)-COLUMN(Tasks!$X$4)+1,FALSE),0),U10)</f>
        <v>0</v>
      </c>
      <c r="AH10" s="39">
        <f ca="1">IF(AF10,IFERROR(VLOOKUP($A10,Tasks!$X$4:$AC$30,COLUMN(Tasks!$AB$4)-COLUMN(Tasks!$X$4)+1,FALSE),0),Y10)</f>
        <v>0</v>
      </c>
      <c r="AI10" s="39">
        <f ca="1">IF(AF10,IFERROR(VLOOKUP($A10,Tasks!$X$4:$AC$30,COLUMN(Tasks!$AC$4)-COLUMN(Tasks!$X$4)+1,FALSE),0),Z10)</f>
        <v>0</v>
      </c>
      <c r="AJ10" s="18"/>
      <c r="AK10" s="22"/>
      <c r="AL10" s="22"/>
      <c r="AM10" s="22" t="s">
        <v>39</v>
      </c>
      <c r="AN10" s="22"/>
      <c r="AO10" s="18"/>
      <c r="AP10" s="22"/>
      <c r="AQ10" s="22"/>
    </row>
    <row r="11" spans="1:43" ht="45" x14ac:dyDescent="0.2">
      <c r="A11" s="20"/>
      <c r="B11" s="21"/>
      <c r="C11" s="36">
        <f t="shared" ca="1" si="0"/>
        <v>0</v>
      </c>
      <c r="D11" s="37" t="str">
        <f>CONCATENATE(Parameters!$B$2,F11,CHAR(10),Parameters!$B$3,G11,CHAR(10),Parameters!$B$4,H11)</f>
        <v>GIVEN you are logged in to the system
WHEN chosing to view a test case
THEN You should be able to see the data connected to the test case</v>
      </c>
      <c r="E11" s="21"/>
      <c r="F11" s="22" t="s">
        <v>107</v>
      </c>
      <c r="G11" s="22" t="s">
        <v>109</v>
      </c>
      <c r="H11" s="22" t="s">
        <v>108</v>
      </c>
      <c r="I11" s="21"/>
      <c r="J11" s="21" t="s">
        <v>88</v>
      </c>
      <c r="K11" s="22"/>
      <c r="L11" s="22" t="s">
        <v>110</v>
      </c>
      <c r="M11" s="22" t="s">
        <v>134</v>
      </c>
      <c r="N11" s="28"/>
      <c r="O11" s="21"/>
      <c r="P11" s="30"/>
      <c r="Q11" s="22"/>
      <c r="R11" s="22"/>
      <c r="S11" s="22"/>
      <c r="T11" s="83"/>
      <c r="U11" s="86">
        <f t="shared" si="1"/>
        <v>0</v>
      </c>
      <c r="V11" s="86">
        <f t="shared" si="9"/>
        <v>0</v>
      </c>
      <c r="W11" s="87">
        <f t="shared" si="2"/>
        <v>0</v>
      </c>
      <c r="X11" s="87">
        <f t="shared" si="3"/>
        <v>0</v>
      </c>
      <c r="Y11" s="36">
        <f t="shared" si="4"/>
        <v>0</v>
      </c>
      <c r="Z11" s="36">
        <f t="shared" si="5"/>
        <v>0</v>
      </c>
      <c r="AA11" s="89">
        <f t="shared" ca="1" si="10"/>
        <v>0</v>
      </c>
      <c r="AB11" s="89">
        <f>SQRT(SUM(X$6:X11))</f>
        <v>0</v>
      </c>
      <c r="AC11" s="89">
        <f t="shared" ca="1" si="6"/>
        <v>0</v>
      </c>
      <c r="AD11" s="42">
        <f t="shared" si="7"/>
        <v>0</v>
      </c>
      <c r="AE11" s="42">
        <f t="shared" si="8"/>
        <v>0</v>
      </c>
      <c r="AF11" s="38">
        <f ca="1">IFERROR(IF(VLOOKUP($A11,Tasks!$X$4:$AC$30,COLUMN(Tasks!$Y$4)-COLUMN(Tasks!$X$4)+1,FALSE)&gt;0,1,0),0)</f>
        <v>0</v>
      </c>
      <c r="AG11" s="39">
        <f ca="1">IF(AF11,IFERROR(VLOOKUP($A11,Tasks!$X$4:$AC$30,COLUMN(Tasks!$Y$4)-COLUMN(Tasks!$X$4)+1,FALSE),0),U11)</f>
        <v>0</v>
      </c>
      <c r="AH11" s="39">
        <f ca="1">IF(AF11,IFERROR(VLOOKUP($A11,Tasks!$X$4:$AC$30,COLUMN(Tasks!$AB$4)-COLUMN(Tasks!$X$4)+1,FALSE),0),Y11)</f>
        <v>0</v>
      </c>
      <c r="AI11" s="39">
        <f ca="1">IF(AF11,IFERROR(VLOOKUP($A11,Tasks!$X$4:$AC$30,COLUMN(Tasks!$AC$4)-COLUMN(Tasks!$X$4)+1,FALSE),0),Z11)</f>
        <v>0</v>
      </c>
      <c r="AJ11" s="18"/>
      <c r="AK11" s="22"/>
      <c r="AL11" s="22"/>
      <c r="AM11" s="22" t="s">
        <v>39</v>
      </c>
      <c r="AN11" s="22"/>
      <c r="AO11" s="18"/>
      <c r="AP11" s="22"/>
      <c r="AQ11" s="22"/>
    </row>
    <row r="12" spans="1:43" ht="67.5" x14ac:dyDescent="0.2">
      <c r="A12" s="20"/>
      <c r="B12" s="21"/>
      <c r="C12" s="36">
        <f t="shared" ca="1" si="0"/>
        <v>0</v>
      </c>
      <c r="D12" s="37" t="str">
        <f>CONCATENATE(Parameters!$B$2,F12,CHAR(10),Parameters!$B$3,G12,CHAR(10),Parameters!$B$4,H12)</f>
        <v>GIVEN You are logged in as Master editor to the system
WHEN selecting multiple test cases for editing
THEN You should be able to sort and select test cases and replace words in description and expected results for the selected test cases  or add or remove variants\product classes</v>
      </c>
      <c r="E12" s="20" t="s">
        <v>111</v>
      </c>
      <c r="F12" s="22" t="s">
        <v>112</v>
      </c>
      <c r="G12" s="22" t="s">
        <v>138</v>
      </c>
      <c r="H12" s="22" t="s">
        <v>139</v>
      </c>
      <c r="I12" s="21"/>
      <c r="J12" s="21" t="s">
        <v>88</v>
      </c>
      <c r="K12" s="22"/>
      <c r="L12" s="22"/>
      <c r="M12" s="22" t="s">
        <v>134</v>
      </c>
      <c r="N12" s="28"/>
      <c r="O12" s="21"/>
      <c r="P12" s="30"/>
      <c r="Q12" s="22"/>
      <c r="R12" s="22"/>
      <c r="S12" s="22"/>
      <c r="T12" s="83"/>
      <c r="U12" s="86">
        <f t="shared" si="1"/>
        <v>0</v>
      </c>
      <c r="V12" s="86">
        <f t="shared" si="9"/>
        <v>0</v>
      </c>
      <c r="W12" s="87">
        <f t="shared" si="2"/>
        <v>0</v>
      </c>
      <c r="X12" s="87">
        <f t="shared" si="3"/>
        <v>0</v>
      </c>
      <c r="Y12" s="36">
        <f t="shared" si="4"/>
        <v>0</v>
      </c>
      <c r="Z12" s="36">
        <f t="shared" si="5"/>
        <v>0</v>
      </c>
      <c r="AA12" s="89">
        <f t="shared" ca="1" si="10"/>
        <v>0</v>
      </c>
      <c r="AB12" s="89">
        <f>SQRT(SUM(X$6:X12))</f>
        <v>0</v>
      </c>
      <c r="AC12" s="89">
        <f t="shared" ca="1" si="6"/>
        <v>0</v>
      </c>
      <c r="AD12" s="42">
        <f t="shared" si="7"/>
        <v>0</v>
      </c>
      <c r="AE12" s="42">
        <f t="shared" si="8"/>
        <v>0</v>
      </c>
      <c r="AF12" s="38">
        <f ca="1">IFERROR(IF(VLOOKUP($A12,Tasks!$X$4:$AC$30,COLUMN(Tasks!$Y$4)-COLUMN(Tasks!$X$4)+1,FALSE)&gt;0,1,0),0)</f>
        <v>0</v>
      </c>
      <c r="AG12" s="39">
        <f ca="1">IF(AF12,IFERROR(VLOOKUP($A12,Tasks!$X$4:$AC$30,COLUMN(Tasks!$Y$4)-COLUMN(Tasks!$X$4)+1,FALSE),0),U12)</f>
        <v>0</v>
      </c>
      <c r="AH12" s="39">
        <f ca="1">IF(AF12,IFERROR(VLOOKUP($A12,Tasks!$X$4:$AC$30,COLUMN(Tasks!$AB$4)-COLUMN(Tasks!$X$4)+1,FALSE),0),Y12)</f>
        <v>0</v>
      </c>
      <c r="AI12" s="39">
        <f ca="1">IF(AF12,IFERROR(VLOOKUP($A12,Tasks!$X$4:$AC$30,COLUMN(Tasks!$AC$4)-COLUMN(Tasks!$X$4)+1,FALSE),0),Z12)</f>
        <v>0</v>
      </c>
      <c r="AJ12" s="18"/>
      <c r="AK12" s="22"/>
      <c r="AL12" s="22"/>
      <c r="AM12" s="22" t="s">
        <v>39</v>
      </c>
      <c r="AN12" s="22"/>
      <c r="AO12" s="18"/>
      <c r="AP12" s="22"/>
      <c r="AQ12" s="22"/>
    </row>
    <row r="13" spans="1:43" ht="67.5" x14ac:dyDescent="0.2">
      <c r="A13" s="20"/>
      <c r="B13" s="21"/>
      <c r="C13" s="36">
        <f t="shared" ca="1" si="0"/>
        <v>0</v>
      </c>
      <c r="D13" s="37" t="str">
        <f>CONCATENATE(Parameters!$B$2,F13,CHAR(10),Parameters!$B$3,G13,CHAR(10),Parameters!$B$4,H13)</f>
        <v>GIVEN You are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E13" s="21" t="s">
        <v>111</v>
      </c>
      <c r="F13" s="22" t="s">
        <v>112</v>
      </c>
      <c r="G13" s="22" t="s">
        <v>115</v>
      </c>
      <c r="H13" s="22" t="s">
        <v>113</v>
      </c>
      <c r="I13" s="21"/>
      <c r="J13" s="21" t="s">
        <v>88</v>
      </c>
      <c r="K13" s="22"/>
      <c r="L13" s="22"/>
      <c r="M13" s="22"/>
      <c r="N13" s="28"/>
      <c r="O13" s="21"/>
      <c r="P13" s="30"/>
      <c r="Q13" s="22"/>
      <c r="R13" s="22"/>
      <c r="S13" s="22"/>
      <c r="T13" s="83"/>
      <c r="U13" s="86">
        <f t="shared" si="1"/>
        <v>0</v>
      </c>
      <c r="V13" s="86">
        <f t="shared" si="9"/>
        <v>0</v>
      </c>
      <c r="W13" s="87">
        <f t="shared" si="2"/>
        <v>0</v>
      </c>
      <c r="X13" s="87">
        <f t="shared" si="3"/>
        <v>0</v>
      </c>
      <c r="Y13" s="36">
        <f t="shared" si="4"/>
        <v>0</v>
      </c>
      <c r="Z13" s="36">
        <f t="shared" si="5"/>
        <v>0</v>
      </c>
      <c r="AA13" s="89">
        <f t="shared" ca="1" si="10"/>
        <v>0</v>
      </c>
      <c r="AB13" s="89">
        <f>SQRT(SUM(X$6:X13))</f>
        <v>0</v>
      </c>
      <c r="AC13" s="89">
        <f t="shared" ca="1" si="6"/>
        <v>0</v>
      </c>
      <c r="AD13" s="42">
        <f t="shared" si="7"/>
        <v>0</v>
      </c>
      <c r="AE13" s="42">
        <f t="shared" si="8"/>
        <v>0</v>
      </c>
      <c r="AF13" s="38">
        <f ca="1">IFERROR(IF(VLOOKUP($A13,Tasks!$X$4:$AC$30,COLUMN(Tasks!$Y$4)-COLUMN(Tasks!$X$4)+1,FALSE)&gt;0,1,0),0)</f>
        <v>0</v>
      </c>
      <c r="AG13" s="39">
        <f ca="1">IF(AF13,IFERROR(VLOOKUP($A13,Tasks!$X$4:$AC$30,COLUMN(Tasks!$Y$4)-COLUMN(Tasks!$X$4)+1,FALSE),0),U13)</f>
        <v>0</v>
      </c>
      <c r="AH13" s="39">
        <f ca="1">IF(AF13,IFERROR(VLOOKUP($A13,Tasks!$X$4:$AC$30,COLUMN(Tasks!$AB$4)-COLUMN(Tasks!$X$4)+1,FALSE),0),Y13)</f>
        <v>0</v>
      </c>
      <c r="AI13" s="39">
        <f ca="1">IF(AF13,IFERROR(VLOOKUP($A13,Tasks!$X$4:$AC$30,COLUMN(Tasks!$AC$4)-COLUMN(Tasks!$X$4)+1,FALSE),0),Z13)</f>
        <v>0</v>
      </c>
      <c r="AJ13" s="18"/>
      <c r="AK13" s="22"/>
      <c r="AL13" s="22"/>
      <c r="AM13" s="22" t="s">
        <v>39</v>
      </c>
      <c r="AN13" s="22"/>
      <c r="AO13" s="18"/>
      <c r="AP13" s="22"/>
      <c r="AQ13" s="22"/>
    </row>
    <row r="14" spans="1:43" ht="56.25" x14ac:dyDescent="0.2">
      <c r="A14" s="20"/>
      <c r="B14" s="21"/>
      <c r="C14" s="36">
        <f t="shared" ca="1" si="0"/>
        <v>0</v>
      </c>
      <c r="D14" s="37" t="str">
        <f>CONCATENATE(Parameters!$B$2,F14,CHAR(10),Parameters!$B$3,G14,CHAR(10),Parameters!$B$4,H14)</f>
        <v>GIVEN You are logged in as Master editor to the system
WHEN Chosing a test sequence or a test case
THEN You should be able to see when test sequence or tests within the sequence were latest used. (This is needed to be able to sort\hide or remove test cases).</v>
      </c>
      <c r="E14" s="21" t="s">
        <v>111</v>
      </c>
      <c r="F14" s="22" t="s">
        <v>112</v>
      </c>
      <c r="G14" s="22" t="s">
        <v>114</v>
      </c>
      <c r="H14" s="22" t="s">
        <v>123</v>
      </c>
      <c r="I14" s="21"/>
      <c r="J14" s="21" t="s">
        <v>88</v>
      </c>
      <c r="K14" s="22"/>
      <c r="L14" s="22"/>
      <c r="M14" s="22"/>
      <c r="N14" s="28"/>
      <c r="O14" s="21"/>
      <c r="P14" s="30"/>
      <c r="Q14" s="22"/>
      <c r="R14" s="22"/>
      <c r="S14" s="22"/>
      <c r="T14" s="83"/>
      <c r="U14" s="86">
        <f t="shared" si="1"/>
        <v>0</v>
      </c>
      <c r="V14" s="86">
        <f t="shared" si="9"/>
        <v>0</v>
      </c>
      <c r="W14" s="87">
        <f t="shared" si="2"/>
        <v>0</v>
      </c>
      <c r="X14" s="87">
        <f t="shared" si="3"/>
        <v>0</v>
      </c>
      <c r="Y14" s="36">
        <f t="shared" si="4"/>
        <v>0</v>
      </c>
      <c r="Z14" s="36">
        <f t="shared" si="5"/>
        <v>0</v>
      </c>
      <c r="AA14" s="89">
        <f t="shared" ca="1" si="10"/>
        <v>0</v>
      </c>
      <c r="AB14" s="89">
        <f>SQRT(SUM(X$6:X14))</f>
        <v>0</v>
      </c>
      <c r="AC14" s="89">
        <f t="shared" ca="1" si="6"/>
        <v>0</v>
      </c>
      <c r="AD14" s="42">
        <f t="shared" si="7"/>
        <v>0</v>
      </c>
      <c r="AE14" s="42">
        <f t="shared" si="8"/>
        <v>0</v>
      </c>
      <c r="AF14" s="38">
        <f ca="1">IFERROR(IF(VLOOKUP($A14,Tasks!$X$4:$AC$30,COLUMN(Tasks!$Y$4)-COLUMN(Tasks!$X$4)+1,FALSE)&gt;0,1,0),0)</f>
        <v>0</v>
      </c>
      <c r="AG14" s="39">
        <f ca="1">IF(AF14,IFERROR(VLOOKUP($A14,Tasks!$X$4:$AC$30,COLUMN(Tasks!$Y$4)-COLUMN(Tasks!$X$4)+1,FALSE),0),U14)</f>
        <v>0</v>
      </c>
      <c r="AH14" s="39">
        <f ca="1">IF(AF14,IFERROR(VLOOKUP($A14,Tasks!$X$4:$AC$30,COLUMN(Tasks!$AB$4)-COLUMN(Tasks!$X$4)+1,FALSE),0),Y14)</f>
        <v>0</v>
      </c>
      <c r="AI14" s="39">
        <f ca="1">IF(AF14,IFERROR(VLOOKUP($A14,Tasks!$X$4:$AC$30,COLUMN(Tasks!$AC$4)-COLUMN(Tasks!$X$4)+1,FALSE),0),Z14)</f>
        <v>0</v>
      </c>
      <c r="AJ14" s="18"/>
      <c r="AK14" s="22"/>
      <c r="AL14" s="22"/>
      <c r="AM14" s="22" t="s">
        <v>39</v>
      </c>
      <c r="AN14" s="22"/>
      <c r="AO14" s="18"/>
      <c r="AP14" s="22"/>
      <c r="AQ14" s="22"/>
    </row>
    <row r="15" spans="1:43" ht="45" x14ac:dyDescent="0.2">
      <c r="A15" s="20"/>
      <c r="B15" s="21"/>
      <c r="C15" s="36">
        <f t="shared" ca="1" si="0"/>
        <v>0</v>
      </c>
      <c r="D15" s="37" t="str">
        <f>CONCATENATE(Parameters!$B$2,F15,CHAR(10),Parameters!$B$3,G15,CHAR(10),Parameters!$B$4,H15)</f>
        <v>GIVEN You are logged in as Master editor to the system
WHEN When updating a test case creating a new version
THEN You should be able to address owners of custom test sequence about the change through the system.</v>
      </c>
      <c r="E15" s="21" t="s">
        <v>111</v>
      </c>
      <c r="F15" s="22" t="s">
        <v>112</v>
      </c>
      <c r="G15" s="22" t="s">
        <v>116</v>
      </c>
      <c r="H15" s="22" t="s">
        <v>117</v>
      </c>
      <c r="I15" s="21"/>
      <c r="J15" s="21" t="s">
        <v>88</v>
      </c>
      <c r="K15" s="22"/>
      <c r="L15" s="22"/>
      <c r="M15" s="22"/>
      <c r="N15" s="28"/>
      <c r="O15" s="21"/>
      <c r="P15" s="30"/>
      <c r="Q15" s="22"/>
      <c r="R15" s="22"/>
      <c r="S15" s="22"/>
      <c r="T15" s="83"/>
      <c r="U15" s="86">
        <f t="shared" si="1"/>
        <v>0</v>
      </c>
      <c r="V15" s="86">
        <f t="shared" si="9"/>
        <v>0</v>
      </c>
      <c r="W15" s="87">
        <f t="shared" si="2"/>
        <v>0</v>
      </c>
      <c r="X15" s="87">
        <f t="shared" si="3"/>
        <v>0</v>
      </c>
      <c r="Y15" s="36">
        <f t="shared" si="4"/>
        <v>0</v>
      </c>
      <c r="Z15" s="36">
        <f t="shared" si="5"/>
        <v>0</v>
      </c>
      <c r="AA15" s="89">
        <f t="shared" ca="1" si="10"/>
        <v>0</v>
      </c>
      <c r="AB15" s="89">
        <f>SQRT(SUM(X$6:X15))</f>
        <v>0</v>
      </c>
      <c r="AC15" s="89">
        <f t="shared" ca="1" si="6"/>
        <v>0</v>
      </c>
      <c r="AD15" s="42">
        <f t="shared" si="7"/>
        <v>0</v>
      </c>
      <c r="AE15" s="42">
        <f t="shared" si="8"/>
        <v>0</v>
      </c>
      <c r="AF15" s="38">
        <f ca="1">IFERROR(IF(VLOOKUP($A15,Tasks!$X$4:$AC$30,COLUMN(Tasks!$Y$4)-COLUMN(Tasks!$X$4)+1,FALSE)&gt;0,1,0),0)</f>
        <v>0</v>
      </c>
      <c r="AG15" s="39">
        <f ca="1">IF(AF15,IFERROR(VLOOKUP($A15,Tasks!$X$4:$AC$30,COLUMN(Tasks!$Y$4)-COLUMN(Tasks!$X$4)+1,FALSE),0),U15)</f>
        <v>0</v>
      </c>
      <c r="AH15" s="39">
        <f ca="1">IF(AF15,IFERROR(VLOOKUP($A15,Tasks!$X$4:$AC$30,COLUMN(Tasks!$AB$4)-COLUMN(Tasks!$X$4)+1,FALSE),0),Y15)</f>
        <v>0</v>
      </c>
      <c r="AI15" s="39">
        <f ca="1">IF(AF15,IFERROR(VLOOKUP($A15,Tasks!$X$4:$AC$30,COLUMN(Tasks!$AC$4)-COLUMN(Tasks!$X$4)+1,FALSE),0),Z15)</f>
        <v>0</v>
      </c>
      <c r="AJ15" s="18"/>
      <c r="AK15" s="22"/>
      <c r="AL15" s="22"/>
      <c r="AM15" s="22" t="s">
        <v>39</v>
      </c>
      <c r="AN15" s="22"/>
      <c r="AO15" s="18"/>
      <c r="AP15" s="22"/>
      <c r="AQ15" s="22"/>
    </row>
    <row r="16" spans="1:43" ht="33.75" x14ac:dyDescent="0.2">
      <c r="A16" s="20"/>
      <c r="B16" s="21"/>
      <c r="C16" s="36">
        <f t="shared" ca="1" si="0"/>
        <v>0</v>
      </c>
      <c r="D16" s="37" t="str">
        <f>CONCATENATE(Parameters!$B$2,F16,CHAR(10),Parameters!$B$3,G16,CHAR(10),Parameters!$B$4,H16)</f>
        <v xml:space="preserve">GIVEN You are logged in as Master editor to the system
WHEN 
THEN </v>
      </c>
      <c r="E16" s="21" t="s">
        <v>111</v>
      </c>
      <c r="F16" s="22" t="s">
        <v>112</v>
      </c>
      <c r="G16" s="22"/>
      <c r="H16" s="22"/>
      <c r="I16" s="21"/>
      <c r="J16" s="21" t="s">
        <v>88</v>
      </c>
      <c r="K16" s="22"/>
      <c r="L16" s="22"/>
      <c r="M16" s="22"/>
      <c r="N16" s="28"/>
      <c r="O16" s="21"/>
      <c r="P16" s="30"/>
      <c r="Q16" s="22"/>
      <c r="R16" s="22"/>
      <c r="S16" s="22"/>
      <c r="T16" s="83"/>
      <c r="U16" s="86">
        <f t="shared" si="1"/>
        <v>0</v>
      </c>
      <c r="V16" s="86">
        <f t="shared" si="9"/>
        <v>0</v>
      </c>
      <c r="W16" s="87">
        <f t="shared" si="2"/>
        <v>0</v>
      </c>
      <c r="X16" s="87">
        <f t="shared" si="3"/>
        <v>0</v>
      </c>
      <c r="Y16" s="36">
        <f t="shared" si="4"/>
        <v>0</v>
      </c>
      <c r="Z16" s="36">
        <f t="shared" si="5"/>
        <v>0</v>
      </c>
      <c r="AA16" s="89">
        <f t="shared" ca="1" si="10"/>
        <v>0</v>
      </c>
      <c r="AB16" s="89">
        <f>SQRT(SUM(X$6:X16))</f>
        <v>0</v>
      </c>
      <c r="AC16" s="89">
        <f t="shared" ca="1" si="6"/>
        <v>0</v>
      </c>
      <c r="AD16" s="42">
        <f t="shared" si="7"/>
        <v>0</v>
      </c>
      <c r="AE16" s="42">
        <f t="shared" si="8"/>
        <v>0</v>
      </c>
      <c r="AF16" s="38">
        <f ca="1">IFERROR(IF(VLOOKUP($A16,Tasks!$X$4:$AC$30,COLUMN(Tasks!$Y$4)-COLUMN(Tasks!$X$4)+1,FALSE)&gt;0,1,0),0)</f>
        <v>0</v>
      </c>
      <c r="AG16" s="39">
        <f ca="1">IF(AF16,IFERROR(VLOOKUP($A16,Tasks!$X$4:$AC$30,COLUMN(Tasks!$Y$4)-COLUMN(Tasks!$X$4)+1,FALSE),0),U16)</f>
        <v>0</v>
      </c>
      <c r="AH16" s="39">
        <f ca="1">IF(AF16,IFERROR(VLOOKUP($A16,Tasks!$X$4:$AC$30,COLUMN(Tasks!$AB$4)-COLUMN(Tasks!$X$4)+1,FALSE),0),Y16)</f>
        <v>0</v>
      </c>
      <c r="AI16" s="39">
        <f ca="1">IF(AF16,IFERROR(VLOOKUP($A16,Tasks!$X$4:$AC$30,COLUMN(Tasks!$AC$4)-COLUMN(Tasks!$X$4)+1,FALSE),0),Z16)</f>
        <v>0</v>
      </c>
      <c r="AJ16" s="18"/>
      <c r="AK16" s="22"/>
      <c r="AL16" s="22"/>
      <c r="AM16" s="22" t="s">
        <v>39</v>
      </c>
      <c r="AN16" s="22"/>
      <c r="AO16" s="18"/>
      <c r="AP16" s="22"/>
      <c r="AQ16" s="22"/>
    </row>
    <row r="17" spans="1:43" ht="56.25" x14ac:dyDescent="0.2">
      <c r="A17" s="20"/>
      <c r="B17" s="21"/>
      <c r="C17" s="36">
        <f t="shared" ca="1" si="0"/>
        <v>0</v>
      </c>
      <c r="D17" s="37" t="str">
        <f>CONCATENATE(Parameters!$B$2,F17,CHAR(10),Parameters!$B$3,G17,CHAR(10),Parameters!$B$4,H17)</f>
        <v>GIVEN You are logged in as Master editor to the system
WHEN You should be able to search test cases for different categories(truck functions).
THEN Should be possible to view test cases for different categories (truck functions)</v>
      </c>
      <c r="E17" s="21" t="s">
        <v>111</v>
      </c>
      <c r="F17" s="22" t="s">
        <v>112</v>
      </c>
      <c r="G17" s="22" t="s">
        <v>124</v>
      </c>
      <c r="H17" s="22" t="s">
        <v>118</v>
      </c>
      <c r="I17" s="21"/>
      <c r="J17" s="21" t="s">
        <v>88</v>
      </c>
      <c r="K17" s="22"/>
      <c r="L17" s="22"/>
      <c r="M17" s="22"/>
      <c r="N17" s="28"/>
      <c r="O17" s="21"/>
      <c r="P17" s="30" t="s">
        <v>119</v>
      </c>
      <c r="Q17" s="22"/>
      <c r="R17" s="22"/>
      <c r="S17" s="22"/>
      <c r="T17" s="83"/>
      <c r="U17" s="86">
        <f t="shared" si="1"/>
        <v>0</v>
      </c>
      <c r="V17" s="86">
        <f t="shared" si="9"/>
        <v>0</v>
      </c>
      <c r="W17" s="87">
        <f t="shared" si="2"/>
        <v>0</v>
      </c>
      <c r="X17" s="87">
        <f t="shared" si="3"/>
        <v>0</v>
      </c>
      <c r="Y17" s="36">
        <f t="shared" si="4"/>
        <v>0</v>
      </c>
      <c r="Z17" s="36">
        <f t="shared" si="5"/>
        <v>0</v>
      </c>
      <c r="AA17" s="89">
        <f t="shared" ca="1" si="10"/>
        <v>0</v>
      </c>
      <c r="AB17" s="89">
        <f>SQRT(SUM(X$6:X17))</f>
        <v>0</v>
      </c>
      <c r="AC17" s="89">
        <f t="shared" ca="1" si="6"/>
        <v>0</v>
      </c>
      <c r="AD17" s="42">
        <f t="shared" si="7"/>
        <v>0</v>
      </c>
      <c r="AE17" s="42">
        <f t="shared" si="8"/>
        <v>0</v>
      </c>
      <c r="AF17" s="38">
        <f ca="1">IFERROR(IF(VLOOKUP($A17,Tasks!$X$4:$AC$30,COLUMN(Tasks!$Y$4)-COLUMN(Tasks!$X$4)+1,FALSE)&gt;0,1,0),0)</f>
        <v>0</v>
      </c>
      <c r="AG17" s="39">
        <f ca="1">IF(AF17,IFERROR(VLOOKUP($A17,Tasks!$X$4:$AC$30,COLUMN(Tasks!$Y$4)-COLUMN(Tasks!$X$4)+1,FALSE),0),U17)</f>
        <v>0</v>
      </c>
      <c r="AH17" s="39">
        <f ca="1">IF(AF17,IFERROR(VLOOKUP($A17,Tasks!$X$4:$AC$30,COLUMN(Tasks!$AB$4)-COLUMN(Tasks!$X$4)+1,FALSE),0),Y17)</f>
        <v>0</v>
      </c>
      <c r="AI17" s="39">
        <f ca="1">IF(AF17,IFERROR(VLOOKUP($A17,Tasks!$X$4:$AC$30,COLUMN(Tasks!$AC$4)-COLUMN(Tasks!$X$4)+1,FALSE),0),Z17)</f>
        <v>0</v>
      </c>
      <c r="AJ17" s="18"/>
      <c r="AK17" s="22"/>
      <c r="AL17" s="22"/>
      <c r="AM17" s="22" t="s">
        <v>39</v>
      </c>
      <c r="AN17" s="22"/>
      <c r="AO17" s="18"/>
      <c r="AP17" s="22"/>
      <c r="AQ17" s="22"/>
    </row>
    <row r="18" spans="1:43" ht="56.25" x14ac:dyDescent="0.2">
      <c r="A18" s="20"/>
      <c r="B18" s="21"/>
      <c r="C18" s="36">
        <f t="shared" ca="1" si="0"/>
        <v>0</v>
      </c>
      <c r="D18" s="37" t="str">
        <f>CONCATENATE(Parameters!$B$2,F18,CHAR(10),Parameters!$B$3,G18,CHAR(10),Parameters!$B$4,H18)</f>
        <v>GIVEN You are logged in as Local editor to the system
WHEN When chosing to view test cases
THEN You should have an easy overview of test cases and a possibility to easily extract or share the data with people with no access to the system</v>
      </c>
      <c r="E18" s="21" t="s">
        <v>111</v>
      </c>
      <c r="F18" s="22" t="s">
        <v>120</v>
      </c>
      <c r="G18" s="22" t="s">
        <v>121</v>
      </c>
      <c r="H18" s="22" t="s">
        <v>122</v>
      </c>
      <c r="I18" s="21"/>
      <c r="J18" s="21" t="s">
        <v>88</v>
      </c>
      <c r="K18" s="22"/>
      <c r="L18" s="22"/>
      <c r="M18" s="22"/>
      <c r="N18" s="28"/>
      <c r="O18" s="21"/>
      <c r="P18" s="30"/>
      <c r="Q18" s="22"/>
      <c r="R18" s="22"/>
      <c r="S18" s="22"/>
      <c r="T18" s="83"/>
      <c r="U18" s="86">
        <f t="shared" si="1"/>
        <v>0</v>
      </c>
      <c r="V18" s="86">
        <f t="shared" si="9"/>
        <v>0</v>
      </c>
      <c r="W18" s="87">
        <f t="shared" si="2"/>
        <v>0</v>
      </c>
      <c r="X18" s="87">
        <f t="shared" si="3"/>
        <v>0</v>
      </c>
      <c r="Y18" s="36">
        <f t="shared" si="4"/>
        <v>0</v>
      </c>
      <c r="Z18" s="36">
        <f t="shared" si="5"/>
        <v>0</v>
      </c>
      <c r="AA18" s="89">
        <f t="shared" ca="1" si="10"/>
        <v>0</v>
      </c>
      <c r="AB18" s="89">
        <f>SQRT(SUM(X$6:X18))</f>
        <v>0</v>
      </c>
      <c r="AC18" s="89">
        <f t="shared" ca="1" si="6"/>
        <v>0</v>
      </c>
      <c r="AD18" s="42">
        <f t="shared" si="7"/>
        <v>0</v>
      </c>
      <c r="AE18" s="42">
        <f t="shared" si="8"/>
        <v>0</v>
      </c>
      <c r="AF18" s="38">
        <f ca="1">IFERROR(IF(VLOOKUP($A18,Tasks!$X$4:$AC$30,COLUMN(Tasks!$Y$4)-COLUMN(Tasks!$X$4)+1,FALSE)&gt;0,1,0),0)</f>
        <v>0</v>
      </c>
      <c r="AG18" s="39">
        <f ca="1">IF(AF18,IFERROR(VLOOKUP($A18,Tasks!$X$4:$AC$30,COLUMN(Tasks!$Y$4)-COLUMN(Tasks!$X$4)+1,FALSE),0),U18)</f>
        <v>0</v>
      </c>
      <c r="AH18" s="39">
        <f ca="1">IF(AF18,IFERROR(VLOOKUP($A18,Tasks!$X$4:$AC$30,COLUMN(Tasks!$AB$4)-COLUMN(Tasks!$X$4)+1,FALSE),0),Y18)</f>
        <v>0</v>
      </c>
      <c r="AI18" s="39">
        <f ca="1">IF(AF18,IFERROR(VLOOKUP($A18,Tasks!$X$4:$AC$30,COLUMN(Tasks!$AC$4)-COLUMN(Tasks!$X$4)+1,FALSE),0),Z18)</f>
        <v>0</v>
      </c>
      <c r="AJ18" s="18"/>
      <c r="AK18" s="22"/>
      <c r="AL18" s="22"/>
      <c r="AM18" s="22" t="s">
        <v>39</v>
      </c>
      <c r="AN18" s="22"/>
      <c r="AO18" s="18"/>
      <c r="AP18" s="22"/>
      <c r="AQ18" s="22"/>
    </row>
    <row r="19" spans="1:43" ht="56.25" x14ac:dyDescent="0.2">
      <c r="A19" s="20"/>
      <c r="B19" s="21"/>
      <c r="C19" s="36">
        <f t="shared" ca="1" si="0"/>
        <v>0</v>
      </c>
      <c r="D19" s="37" t="str">
        <f>CONCATENATE(Parameters!$B$2,F19,CHAR(10),Parameters!$B$3,G19,CHAR(10),Parameters!$B$4,H19)</f>
        <v>GIVEN You are logged in as Local editor to the system
WHEN when  choosing a variant for a specific product class
THEN You should see valid test cases for that variant and product class combination.</v>
      </c>
      <c r="E19" s="21" t="s">
        <v>111</v>
      </c>
      <c r="F19" s="22" t="s">
        <v>120</v>
      </c>
      <c r="G19" s="22" t="s">
        <v>125</v>
      </c>
      <c r="H19" s="22" t="s">
        <v>126</v>
      </c>
      <c r="I19" s="21"/>
      <c r="J19" s="21" t="s">
        <v>88</v>
      </c>
      <c r="K19" s="22"/>
      <c r="L19" s="22"/>
      <c r="M19" s="22"/>
      <c r="N19" s="28"/>
      <c r="O19" s="21"/>
      <c r="P19" s="30"/>
      <c r="Q19" s="22"/>
      <c r="R19" s="22"/>
      <c r="S19" s="22"/>
      <c r="T19" s="83"/>
      <c r="U19" s="86">
        <f t="shared" si="1"/>
        <v>0</v>
      </c>
      <c r="V19" s="86">
        <f t="shared" si="9"/>
        <v>0</v>
      </c>
      <c r="W19" s="87">
        <f t="shared" si="2"/>
        <v>0</v>
      </c>
      <c r="X19" s="87">
        <f t="shared" si="3"/>
        <v>0</v>
      </c>
      <c r="Y19" s="36">
        <f t="shared" si="4"/>
        <v>0</v>
      </c>
      <c r="Z19" s="36">
        <f t="shared" si="5"/>
        <v>0</v>
      </c>
      <c r="AA19" s="89">
        <f t="shared" ca="1" si="10"/>
        <v>0</v>
      </c>
      <c r="AB19" s="89">
        <f>SQRT(SUM(X$6:X19))</f>
        <v>0</v>
      </c>
      <c r="AC19" s="89">
        <f t="shared" ca="1" si="6"/>
        <v>0</v>
      </c>
      <c r="AD19" s="42">
        <f t="shared" si="7"/>
        <v>0</v>
      </c>
      <c r="AE19" s="42">
        <f t="shared" si="8"/>
        <v>0</v>
      </c>
      <c r="AF19" s="38">
        <f ca="1">IFERROR(IF(VLOOKUP($A19,Tasks!$X$4:$AC$30,COLUMN(Tasks!$Y$4)-COLUMN(Tasks!$X$4)+1,FALSE)&gt;0,1,0),0)</f>
        <v>0</v>
      </c>
      <c r="AG19" s="39">
        <f ca="1">IF(AF19,IFERROR(VLOOKUP($A19,Tasks!$X$4:$AC$30,COLUMN(Tasks!$Y$4)-COLUMN(Tasks!$X$4)+1,FALSE),0),U19)</f>
        <v>0</v>
      </c>
      <c r="AH19" s="39">
        <f ca="1">IF(AF19,IFERROR(VLOOKUP($A19,Tasks!$X$4:$AC$30,COLUMN(Tasks!$AB$4)-COLUMN(Tasks!$X$4)+1,FALSE),0),Y19)</f>
        <v>0</v>
      </c>
      <c r="AI19" s="39">
        <f ca="1">IF(AF19,IFERROR(VLOOKUP($A19,Tasks!$X$4:$AC$30,COLUMN(Tasks!$AC$4)-COLUMN(Tasks!$X$4)+1,FALSE),0),Z19)</f>
        <v>0</v>
      </c>
      <c r="AJ19" s="18"/>
      <c r="AK19" s="22"/>
      <c r="AL19" s="22"/>
      <c r="AM19" s="22" t="s">
        <v>39</v>
      </c>
      <c r="AN19" s="22"/>
      <c r="AO19" s="18"/>
      <c r="AP19" s="22"/>
      <c r="AQ19" s="22"/>
    </row>
    <row r="20" spans="1:43" ht="67.5" x14ac:dyDescent="0.2">
      <c r="A20" s="20"/>
      <c r="B20" s="21"/>
      <c r="C20" s="36">
        <f t="shared" ca="1" si="0"/>
        <v>0</v>
      </c>
      <c r="D20" s="37" t="str">
        <f>CONCATENATE(Parameters!$B$2,F20,CHAR(10),Parameters!$B$3,G20,CHAR(10),Parameters!$B$4,H20)</f>
        <v>GIVEN You are logged in as test lead
WHEN when coosing one or more test cases and tag them with predefined tags as( back office, features, testcase version, navigation, raining, snow).  You should be able to add tags to one or more test cases
THEN Test cases should be updated with the tag.</v>
      </c>
      <c r="E20" s="21"/>
      <c r="F20" s="21" t="s">
        <v>127</v>
      </c>
      <c r="G20" s="22" t="s">
        <v>128</v>
      </c>
      <c r="H20" s="22" t="s">
        <v>129</v>
      </c>
      <c r="I20" s="21"/>
      <c r="J20" s="21" t="s">
        <v>88</v>
      </c>
      <c r="K20" s="22"/>
      <c r="L20" s="22"/>
      <c r="M20" s="22"/>
      <c r="N20" s="28"/>
      <c r="O20" s="21"/>
      <c r="P20" s="30"/>
      <c r="Q20" s="22"/>
      <c r="R20" s="22"/>
      <c r="S20" s="22"/>
      <c r="T20" s="83"/>
      <c r="U20" s="86">
        <f t="shared" si="1"/>
        <v>0</v>
      </c>
      <c r="V20" s="86">
        <f t="shared" si="9"/>
        <v>0</v>
      </c>
      <c r="W20" s="87">
        <f t="shared" si="2"/>
        <v>0</v>
      </c>
      <c r="X20" s="87">
        <f t="shared" si="3"/>
        <v>0</v>
      </c>
      <c r="Y20" s="36">
        <f t="shared" si="4"/>
        <v>0</v>
      </c>
      <c r="Z20" s="36">
        <f t="shared" si="5"/>
        <v>0</v>
      </c>
      <c r="AA20" s="89">
        <f t="shared" ca="1" si="10"/>
        <v>0</v>
      </c>
      <c r="AB20" s="89">
        <f>SQRT(SUM(X$6:X20))</f>
        <v>0</v>
      </c>
      <c r="AC20" s="89">
        <f t="shared" ca="1" si="6"/>
        <v>0</v>
      </c>
      <c r="AD20" s="42">
        <f t="shared" si="7"/>
        <v>0</v>
      </c>
      <c r="AE20" s="42">
        <f t="shared" si="8"/>
        <v>0</v>
      </c>
      <c r="AF20" s="38">
        <f ca="1">IFERROR(IF(VLOOKUP($A20,Tasks!$X$4:$AC$30,COLUMN(Tasks!$Y$4)-COLUMN(Tasks!$X$4)+1,FALSE)&gt;0,1,0),0)</f>
        <v>0</v>
      </c>
      <c r="AG20" s="39">
        <f ca="1">IF(AF20,IFERROR(VLOOKUP($A20,Tasks!$X$4:$AC$30,COLUMN(Tasks!$Y$4)-COLUMN(Tasks!$X$4)+1,FALSE),0),U20)</f>
        <v>0</v>
      </c>
      <c r="AH20" s="39">
        <f ca="1">IF(AF20,IFERROR(VLOOKUP($A20,Tasks!$X$4:$AC$30,COLUMN(Tasks!$AB$4)-COLUMN(Tasks!$X$4)+1,FALSE),0),Y20)</f>
        <v>0</v>
      </c>
      <c r="AI20" s="39">
        <f ca="1">IF(AF20,IFERROR(VLOOKUP($A20,Tasks!$X$4:$AC$30,COLUMN(Tasks!$AC$4)-COLUMN(Tasks!$X$4)+1,FALSE),0),Z20)</f>
        <v>0</v>
      </c>
      <c r="AJ20" s="18"/>
      <c r="AK20" s="22"/>
      <c r="AL20" s="22"/>
      <c r="AM20" s="22" t="s">
        <v>39</v>
      </c>
      <c r="AN20" s="22"/>
      <c r="AO20" s="18"/>
      <c r="AP20" s="22"/>
      <c r="AQ20" s="22"/>
    </row>
    <row r="21" spans="1:43" ht="33.75" x14ac:dyDescent="0.2">
      <c r="A21" s="20"/>
      <c r="B21" s="21"/>
      <c r="C21" s="36">
        <f t="shared" ca="1" si="0"/>
        <v>0</v>
      </c>
      <c r="D21" s="37" t="str">
        <f>CONCATENATE(Parameters!$B$2,F21,CHAR(10),Parameters!$B$3,G21,CHAR(10),Parameters!$B$4,H21)</f>
        <v xml:space="preserve">GIVEN 
WHEN 
THEN </v>
      </c>
      <c r="E21" s="21"/>
      <c r="F21" s="21"/>
      <c r="G21" s="22"/>
      <c r="H21" s="22"/>
      <c r="I21" s="21"/>
      <c r="J21" s="21" t="s">
        <v>88</v>
      </c>
      <c r="K21" s="22"/>
      <c r="L21" s="22"/>
      <c r="M21" s="22"/>
      <c r="N21" s="28"/>
      <c r="O21" s="21"/>
      <c r="P21" s="30"/>
      <c r="Q21" s="22"/>
      <c r="R21" s="22"/>
      <c r="S21" s="22"/>
      <c r="T21" s="83"/>
      <c r="U21" s="86">
        <f t="shared" si="1"/>
        <v>0</v>
      </c>
      <c r="V21" s="86">
        <f t="shared" si="9"/>
        <v>0</v>
      </c>
      <c r="W21" s="87">
        <f t="shared" si="2"/>
        <v>0</v>
      </c>
      <c r="X21" s="87">
        <f t="shared" si="3"/>
        <v>0</v>
      </c>
      <c r="Y21" s="36">
        <f t="shared" si="4"/>
        <v>0</v>
      </c>
      <c r="Z21" s="36">
        <f t="shared" si="5"/>
        <v>0</v>
      </c>
      <c r="AA21" s="89">
        <f t="shared" ca="1" si="10"/>
        <v>0</v>
      </c>
      <c r="AB21" s="89">
        <f>SQRT(SUM(X$6:X21))</f>
        <v>0</v>
      </c>
      <c r="AC21" s="89">
        <f t="shared" ca="1" si="6"/>
        <v>0</v>
      </c>
      <c r="AD21" s="42">
        <f t="shared" si="7"/>
        <v>0</v>
      </c>
      <c r="AE21" s="42">
        <f t="shared" si="8"/>
        <v>0</v>
      </c>
      <c r="AF21" s="38">
        <f ca="1">IFERROR(IF(VLOOKUP($A21,Tasks!$X$4:$AC$30,COLUMN(Tasks!$Y$4)-COLUMN(Tasks!$X$4)+1,FALSE)&gt;0,1,0),0)</f>
        <v>0</v>
      </c>
      <c r="AG21" s="39">
        <f ca="1">IF(AF21,IFERROR(VLOOKUP($A21,Tasks!$X$4:$AC$30,COLUMN(Tasks!$Y$4)-COLUMN(Tasks!$X$4)+1,FALSE),0),U21)</f>
        <v>0</v>
      </c>
      <c r="AH21" s="39">
        <f ca="1">IF(AF21,IFERROR(VLOOKUP($A21,Tasks!$X$4:$AC$30,COLUMN(Tasks!$AB$4)-COLUMN(Tasks!$X$4)+1,FALSE),0),Y21)</f>
        <v>0</v>
      </c>
      <c r="AI21" s="39">
        <f ca="1">IF(AF21,IFERROR(VLOOKUP($A21,Tasks!$X$4:$AC$30,COLUMN(Tasks!$AC$4)-COLUMN(Tasks!$X$4)+1,FALSE),0),Z21)</f>
        <v>0</v>
      </c>
      <c r="AJ21" s="18"/>
      <c r="AK21" s="22"/>
      <c r="AL21" s="22"/>
      <c r="AM21" s="22" t="s">
        <v>39</v>
      </c>
      <c r="AN21" s="22"/>
      <c r="AO21" s="18"/>
      <c r="AP21" s="22"/>
      <c r="AQ21" s="22"/>
    </row>
    <row r="22" spans="1:43" ht="33.75" x14ac:dyDescent="0.2">
      <c r="A22" s="20"/>
      <c r="B22" s="21"/>
      <c r="C22" s="36">
        <f t="shared" ca="1" si="0"/>
        <v>0</v>
      </c>
      <c r="D22" s="37" t="str">
        <f>CONCATENATE(Parameters!$B$2,F22,CHAR(10),Parameters!$B$3,G22,CHAR(10),Parameters!$B$4,H22)</f>
        <v xml:space="preserve">GIVEN 
WHEN 
THEN </v>
      </c>
      <c r="E22" s="21"/>
      <c r="F22" s="21"/>
      <c r="G22" s="22"/>
      <c r="H22" s="22"/>
      <c r="I22" s="21"/>
      <c r="J22" s="21" t="s">
        <v>88</v>
      </c>
      <c r="K22" s="22"/>
      <c r="L22" s="22"/>
      <c r="M22" s="22"/>
      <c r="N22" s="28"/>
      <c r="O22" s="21"/>
      <c r="P22" s="30"/>
      <c r="Q22" s="22"/>
      <c r="R22" s="22"/>
      <c r="S22" s="22"/>
      <c r="T22" s="83"/>
      <c r="U22" s="86">
        <f t="shared" si="1"/>
        <v>0</v>
      </c>
      <c r="V22" s="86">
        <f t="shared" si="9"/>
        <v>0</v>
      </c>
      <c r="W22" s="87">
        <f t="shared" si="2"/>
        <v>0</v>
      </c>
      <c r="X22" s="87">
        <f t="shared" si="3"/>
        <v>0</v>
      </c>
      <c r="Y22" s="36">
        <f t="shared" si="4"/>
        <v>0</v>
      </c>
      <c r="Z22" s="36">
        <f t="shared" si="5"/>
        <v>0</v>
      </c>
      <c r="AA22" s="89">
        <f t="shared" ca="1" si="10"/>
        <v>0</v>
      </c>
      <c r="AB22" s="89">
        <f>SQRT(SUM(X$6:X22))</f>
        <v>0</v>
      </c>
      <c r="AC22" s="89">
        <f t="shared" ca="1" si="6"/>
        <v>0</v>
      </c>
      <c r="AD22" s="42">
        <f t="shared" si="7"/>
        <v>0</v>
      </c>
      <c r="AE22" s="42">
        <f t="shared" si="8"/>
        <v>0</v>
      </c>
      <c r="AF22" s="38">
        <f ca="1">IFERROR(IF(VLOOKUP($A22,Tasks!$X$4:$AC$30,COLUMN(Tasks!$Y$4)-COLUMN(Tasks!$X$4)+1,FALSE)&gt;0,1,0),0)</f>
        <v>0</v>
      </c>
      <c r="AG22" s="39">
        <f ca="1">IF(AF22,IFERROR(VLOOKUP($A22,Tasks!$X$4:$AC$30,COLUMN(Tasks!$Y$4)-COLUMN(Tasks!$X$4)+1,FALSE),0),U22)</f>
        <v>0</v>
      </c>
      <c r="AH22" s="39">
        <f ca="1">IF(AF22,IFERROR(VLOOKUP($A22,Tasks!$X$4:$AC$30,COLUMN(Tasks!$AB$4)-COLUMN(Tasks!$X$4)+1,FALSE),0),Y22)</f>
        <v>0</v>
      </c>
      <c r="AI22" s="39">
        <f ca="1">IF(AF22,IFERROR(VLOOKUP($A22,Tasks!$X$4:$AC$30,COLUMN(Tasks!$AC$4)-COLUMN(Tasks!$X$4)+1,FALSE),0),Z22)</f>
        <v>0</v>
      </c>
      <c r="AJ22" s="18"/>
      <c r="AK22" s="22"/>
      <c r="AL22" s="22"/>
      <c r="AM22" s="22" t="s">
        <v>39</v>
      </c>
      <c r="AN22" s="22"/>
      <c r="AO22" s="18"/>
      <c r="AP22" s="22"/>
      <c r="AQ22" s="22"/>
    </row>
    <row r="23" spans="1:43" ht="33.75" x14ac:dyDescent="0.2">
      <c r="A23" s="20"/>
      <c r="B23" s="21"/>
      <c r="C23" s="36">
        <f t="shared" ca="1" si="0"/>
        <v>0</v>
      </c>
      <c r="D23" s="37" t="str">
        <f>CONCATENATE(Parameters!$B$2,F23,CHAR(10),Parameters!$B$3,G23,CHAR(10),Parameters!$B$4,H23)</f>
        <v xml:space="preserve">GIVEN 
WHEN 
THEN </v>
      </c>
      <c r="E23" s="21"/>
      <c r="F23" s="21"/>
      <c r="G23" s="22"/>
      <c r="H23" s="22"/>
      <c r="I23" s="21"/>
      <c r="J23" s="21" t="s">
        <v>88</v>
      </c>
      <c r="K23" s="22"/>
      <c r="L23" s="22"/>
      <c r="M23" s="22"/>
      <c r="N23" s="28"/>
      <c r="O23" s="21"/>
      <c r="P23" s="30"/>
      <c r="Q23" s="22"/>
      <c r="R23" s="22"/>
      <c r="S23" s="22"/>
      <c r="T23" s="83"/>
      <c r="U23" s="86">
        <f t="shared" si="1"/>
        <v>0</v>
      </c>
      <c r="V23" s="86">
        <f t="shared" si="9"/>
        <v>0</v>
      </c>
      <c r="W23" s="87">
        <f t="shared" si="2"/>
        <v>0</v>
      </c>
      <c r="X23" s="87">
        <f t="shared" si="3"/>
        <v>0</v>
      </c>
      <c r="Y23" s="36">
        <f t="shared" si="4"/>
        <v>0</v>
      </c>
      <c r="Z23" s="36">
        <f t="shared" si="5"/>
        <v>0</v>
      </c>
      <c r="AA23" s="89">
        <f t="shared" ca="1" si="10"/>
        <v>0</v>
      </c>
      <c r="AB23" s="89">
        <f>SQRT(SUM(X$6:X23))</f>
        <v>0</v>
      </c>
      <c r="AC23" s="89">
        <f t="shared" ca="1" si="6"/>
        <v>0</v>
      </c>
      <c r="AD23" s="42">
        <f t="shared" si="7"/>
        <v>0</v>
      </c>
      <c r="AE23" s="42">
        <f t="shared" si="8"/>
        <v>0</v>
      </c>
      <c r="AF23" s="38">
        <f ca="1">IFERROR(IF(VLOOKUP($A23,Tasks!$X$4:$AC$30,COLUMN(Tasks!$Y$4)-COLUMN(Tasks!$X$4)+1,FALSE)&gt;0,1,0),0)</f>
        <v>0</v>
      </c>
      <c r="AG23" s="39">
        <f ca="1">IF(AF23,IFERROR(VLOOKUP($A23,Tasks!$X$4:$AC$30,COLUMN(Tasks!$Y$4)-COLUMN(Tasks!$X$4)+1,FALSE),0),U23)</f>
        <v>0</v>
      </c>
      <c r="AH23" s="39">
        <f ca="1">IF(AF23,IFERROR(VLOOKUP($A23,Tasks!$X$4:$AC$30,COLUMN(Tasks!$AB$4)-COLUMN(Tasks!$X$4)+1,FALSE),0),Y23)</f>
        <v>0</v>
      </c>
      <c r="AI23" s="39">
        <f ca="1">IF(AF23,IFERROR(VLOOKUP($A23,Tasks!$X$4:$AC$30,COLUMN(Tasks!$AC$4)-COLUMN(Tasks!$X$4)+1,FALSE),0),Z23)</f>
        <v>0</v>
      </c>
      <c r="AJ23" s="18"/>
      <c r="AK23" s="22"/>
      <c r="AL23" s="22"/>
      <c r="AM23" s="22" t="s">
        <v>39</v>
      </c>
      <c r="AN23" s="22"/>
      <c r="AO23" s="18"/>
      <c r="AP23" s="22"/>
      <c r="AQ23" s="22"/>
    </row>
    <row r="24" spans="1:43" ht="33.75" x14ac:dyDescent="0.2">
      <c r="A24" s="20"/>
      <c r="B24" s="21"/>
      <c r="C24" s="36">
        <f t="shared" ca="1" si="0"/>
        <v>0</v>
      </c>
      <c r="D24" s="37" t="str">
        <f>CONCATENATE(Parameters!$B$2,F24,CHAR(10),Parameters!$B$3,G24,CHAR(10),Parameters!$B$4,H24)</f>
        <v xml:space="preserve">GIVEN 
WHEN 
THEN </v>
      </c>
      <c r="E24" s="21"/>
      <c r="F24" s="21"/>
      <c r="G24" s="22"/>
      <c r="H24" s="22"/>
      <c r="I24" s="21"/>
      <c r="J24" s="21" t="s">
        <v>88</v>
      </c>
      <c r="K24" s="22"/>
      <c r="L24" s="22"/>
      <c r="M24" s="22"/>
      <c r="N24" s="28"/>
      <c r="O24" s="21"/>
      <c r="P24" s="30"/>
      <c r="Q24" s="22"/>
      <c r="R24" s="22"/>
      <c r="S24" s="22"/>
      <c r="T24" s="83"/>
      <c r="U24" s="86">
        <f t="shared" si="1"/>
        <v>0</v>
      </c>
      <c r="V24" s="86">
        <f t="shared" si="9"/>
        <v>0</v>
      </c>
      <c r="W24" s="87">
        <f t="shared" si="2"/>
        <v>0</v>
      </c>
      <c r="X24" s="87">
        <f t="shared" si="3"/>
        <v>0</v>
      </c>
      <c r="Y24" s="36">
        <f t="shared" si="4"/>
        <v>0</v>
      </c>
      <c r="Z24" s="36">
        <f t="shared" si="5"/>
        <v>0</v>
      </c>
      <c r="AA24" s="89">
        <f t="shared" ca="1" si="10"/>
        <v>0</v>
      </c>
      <c r="AB24" s="89">
        <f>SQRT(SUM(X$6:X24))</f>
        <v>0</v>
      </c>
      <c r="AC24" s="89">
        <f t="shared" ca="1" si="6"/>
        <v>0</v>
      </c>
      <c r="AD24" s="42">
        <f t="shared" si="7"/>
        <v>0</v>
      </c>
      <c r="AE24" s="42">
        <f t="shared" si="8"/>
        <v>0</v>
      </c>
      <c r="AF24" s="38">
        <f ca="1">IFERROR(IF(VLOOKUP($A24,Tasks!$X$4:$AC$30,COLUMN(Tasks!$Y$4)-COLUMN(Tasks!$X$4)+1,FALSE)&gt;0,1,0),0)</f>
        <v>0</v>
      </c>
      <c r="AG24" s="39">
        <f ca="1">IF(AF24,IFERROR(VLOOKUP($A24,Tasks!$X$4:$AC$30,COLUMN(Tasks!$Y$4)-COLUMN(Tasks!$X$4)+1,FALSE),0),U24)</f>
        <v>0</v>
      </c>
      <c r="AH24" s="39">
        <f ca="1">IF(AF24,IFERROR(VLOOKUP($A24,Tasks!$X$4:$AC$30,COLUMN(Tasks!$AB$4)-COLUMN(Tasks!$X$4)+1,FALSE),0),Y24)</f>
        <v>0</v>
      </c>
      <c r="AI24" s="39">
        <f ca="1">IF(AF24,IFERROR(VLOOKUP($A24,Tasks!$X$4:$AC$30,COLUMN(Tasks!$AC$4)-COLUMN(Tasks!$X$4)+1,FALSE),0),Z24)</f>
        <v>0</v>
      </c>
      <c r="AJ24" s="18"/>
      <c r="AK24" s="22"/>
      <c r="AL24" s="22"/>
      <c r="AM24" s="22" t="s">
        <v>39</v>
      </c>
      <c r="AN24" s="22"/>
      <c r="AO24" s="18"/>
      <c r="AP24" s="22"/>
      <c r="AQ24" s="22"/>
    </row>
    <row r="25" spans="1:43" ht="33.75" x14ac:dyDescent="0.2">
      <c r="A25" s="20"/>
      <c r="B25" s="21"/>
      <c r="C25" s="36">
        <f t="shared" ca="1" si="0"/>
        <v>0</v>
      </c>
      <c r="D25" s="37" t="str">
        <f>CONCATENATE(Parameters!$B$2,F25,CHAR(10),Parameters!$B$3,G25,CHAR(10),Parameters!$B$4,H25)</f>
        <v xml:space="preserve">GIVEN 
WHEN 
THEN </v>
      </c>
      <c r="E25" s="21"/>
      <c r="F25" s="21"/>
      <c r="G25" s="22"/>
      <c r="H25" s="22"/>
      <c r="I25" s="21"/>
      <c r="J25" s="21" t="s">
        <v>88</v>
      </c>
      <c r="K25" s="22"/>
      <c r="L25" s="22"/>
      <c r="M25" s="22"/>
      <c r="N25" s="28"/>
      <c r="O25" s="21"/>
      <c r="P25" s="30"/>
      <c r="Q25" s="22"/>
      <c r="R25" s="22"/>
      <c r="S25" s="22"/>
      <c r="T25" s="83"/>
      <c r="U25" s="86">
        <f t="shared" si="1"/>
        <v>0</v>
      </c>
      <c r="V25" s="86">
        <f t="shared" si="9"/>
        <v>0</v>
      </c>
      <c r="W25" s="87">
        <f t="shared" si="2"/>
        <v>0</v>
      </c>
      <c r="X25" s="87">
        <f t="shared" si="3"/>
        <v>0</v>
      </c>
      <c r="Y25" s="36">
        <f t="shared" si="4"/>
        <v>0</v>
      </c>
      <c r="Z25" s="36">
        <f t="shared" si="5"/>
        <v>0</v>
      </c>
      <c r="AA25" s="89">
        <f t="shared" ca="1" si="10"/>
        <v>0</v>
      </c>
      <c r="AB25" s="89">
        <f>SQRT(SUM(X$6:X25))</f>
        <v>0</v>
      </c>
      <c r="AC25" s="89">
        <f t="shared" ca="1" si="6"/>
        <v>0</v>
      </c>
      <c r="AD25" s="42">
        <f t="shared" si="7"/>
        <v>0</v>
      </c>
      <c r="AE25" s="42">
        <f t="shared" si="8"/>
        <v>0</v>
      </c>
      <c r="AF25" s="38">
        <f ca="1">IFERROR(IF(VLOOKUP($A25,Tasks!$X$4:$AC$30,COLUMN(Tasks!$Y$4)-COLUMN(Tasks!$X$4)+1,FALSE)&gt;0,1,0),0)</f>
        <v>0</v>
      </c>
      <c r="AG25" s="39">
        <f ca="1">IF(AF25,IFERROR(VLOOKUP($A25,Tasks!$X$4:$AC$30,COLUMN(Tasks!$Y$4)-COLUMN(Tasks!$X$4)+1,FALSE),0),U25)</f>
        <v>0</v>
      </c>
      <c r="AH25" s="39">
        <f ca="1">IF(AF25,IFERROR(VLOOKUP($A25,Tasks!$X$4:$AC$30,COLUMN(Tasks!$AB$4)-COLUMN(Tasks!$X$4)+1,FALSE),0),Y25)</f>
        <v>0</v>
      </c>
      <c r="AI25" s="39">
        <f ca="1">IF(AF25,IFERROR(VLOOKUP($A25,Tasks!$X$4:$AC$30,COLUMN(Tasks!$AC$4)-COLUMN(Tasks!$X$4)+1,FALSE),0),Z25)</f>
        <v>0</v>
      </c>
      <c r="AJ25" s="18"/>
      <c r="AK25" s="22"/>
      <c r="AL25" s="22"/>
      <c r="AM25" s="22" t="s">
        <v>39</v>
      </c>
      <c r="AN25" s="22"/>
      <c r="AO25" s="18"/>
      <c r="AP25" s="22"/>
      <c r="AQ25" s="22"/>
    </row>
    <row r="26" spans="1:43" ht="33.75" x14ac:dyDescent="0.2">
      <c r="A26" s="20"/>
      <c r="B26" s="21"/>
      <c r="C26" s="36">
        <f t="shared" ca="1" si="0"/>
        <v>0</v>
      </c>
      <c r="D26" s="37" t="str">
        <f>CONCATENATE(Parameters!$B$2,F26,CHAR(10),Parameters!$B$3,G26,CHAR(10),Parameters!$B$4,H26)</f>
        <v xml:space="preserve">GIVEN 
WHEN 
THEN </v>
      </c>
      <c r="E26" s="21"/>
      <c r="F26" s="21"/>
      <c r="G26" s="22"/>
      <c r="H26" s="22"/>
      <c r="I26" s="21"/>
      <c r="J26" s="21" t="s">
        <v>88</v>
      </c>
      <c r="K26" s="22"/>
      <c r="L26" s="22"/>
      <c r="M26" s="22"/>
      <c r="N26" s="28"/>
      <c r="O26" s="21"/>
      <c r="P26" s="30"/>
      <c r="Q26" s="22"/>
      <c r="R26" s="22"/>
      <c r="S26" s="22"/>
      <c r="T26" s="83"/>
      <c r="U26" s="86">
        <f t="shared" si="1"/>
        <v>0</v>
      </c>
      <c r="V26" s="86">
        <f t="shared" si="9"/>
        <v>0</v>
      </c>
      <c r="W26" s="87">
        <f t="shared" si="2"/>
        <v>0</v>
      </c>
      <c r="X26" s="87">
        <f t="shared" si="3"/>
        <v>0</v>
      </c>
      <c r="Y26" s="36">
        <f t="shared" si="4"/>
        <v>0</v>
      </c>
      <c r="Z26" s="36">
        <f t="shared" si="5"/>
        <v>0</v>
      </c>
      <c r="AA26" s="89">
        <f t="shared" ca="1" si="10"/>
        <v>0</v>
      </c>
      <c r="AB26" s="89">
        <f>SQRT(SUM(X$6:X26))</f>
        <v>0</v>
      </c>
      <c r="AC26" s="89">
        <f t="shared" ca="1" si="6"/>
        <v>0</v>
      </c>
      <c r="AD26" s="42">
        <f t="shared" si="7"/>
        <v>0</v>
      </c>
      <c r="AE26" s="42">
        <f t="shared" si="8"/>
        <v>0</v>
      </c>
      <c r="AF26" s="38">
        <f ca="1">IFERROR(IF(VLOOKUP($A26,Tasks!$X$4:$AC$30,COLUMN(Tasks!$Y$4)-COLUMN(Tasks!$X$4)+1,FALSE)&gt;0,1,0),0)</f>
        <v>0</v>
      </c>
      <c r="AG26" s="39">
        <f ca="1">IF(AF26,IFERROR(VLOOKUP($A26,Tasks!$X$4:$AC$30,COLUMN(Tasks!$Y$4)-COLUMN(Tasks!$X$4)+1,FALSE),0),U26)</f>
        <v>0</v>
      </c>
      <c r="AH26" s="39">
        <f ca="1">IF(AF26,IFERROR(VLOOKUP($A26,Tasks!$X$4:$AC$30,COLUMN(Tasks!$AB$4)-COLUMN(Tasks!$X$4)+1,FALSE),0),Y26)</f>
        <v>0</v>
      </c>
      <c r="AI26" s="39">
        <f ca="1">IF(AF26,IFERROR(VLOOKUP($A26,Tasks!$X$4:$AC$30,COLUMN(Tasks!$AC$4)-COLUMN(Tasks!$X$4)+1,FALSE),0),Z26)</f>
        <v>0</v>
      </c>
      <c r="AJ26" s="18"/>
      <c r="AK26" s="22"/>
      <c r="AL26" s="22"/>
      <c r="AM26" s="22" t="s">
        <v>39</v>
      </c>
      <c r="AN26" s="22"/>
      <c r="AO26" s="18"/>
      <c r="AP26" s="22"/>
      <c r="AQ26" s="22"/>
    </row>
    <row r="27" spans="1:43" ht="33.75" x14ac:dyDescent="0.2">
      <c r="A27" s="20"/>
      <c r="B27" s="21"/>
      <c r="C27" s="36">
        <f t="shared" ca="1" si="0"/>
        <v>0</v>
      </c>
      <c r="D27" s="37" t="str">
        <f>CONCATENATE(Parameters!$B$2,F27,CHAR(10),Parameters!$B$3,G27,CHAR(10),Parameters!$B$4,H27)</f>
        <v xml:space="preserve">GIVEN 
WHEN 
THEN </v>
      </c>
      <c r="E27" s="21"/>
      <c r="F27" s="21"/>
      <c r="G27" s="22"/>
      <c r="H27" s="22"/>
      <c r="I27" s="21"/>
      <c r="J27" s="21" t="s">
        <v>88</v>
      </c>
      <c r="K27" s="22"/>
      <c r="L27" s="22"/>
      <c r="M27" s="22"/>
      <c r="N27" s="28"/>
      <c r="O27" s="21"/>
      <c r="P27" s="30"/>
      <c r="Q27" s="22"/>
      <c r="R27" s="22"/>
      <c r="S27" s="22"/>
      <c r="T27" s="83"/>
      <c r="U27" s="86">
        <f t="shared" si="1"/>
        <v>0</v>
      </c>
      <c r="V27" s="86">
        <f t="shared" si="9"/>
        <v>0</v>
      </c>
      <c r="W27" s="87">
        <f t="shared" si="2"/>
        <v>0</v>
      </c>
      <c r="X27" s="87">
        <f t="shared" si="3"/>
        <v>0</v>
      </c>
      <c r="Y27" s="36">
        <f t="shared" si="4"/>
        <v>0</v>
      </c>
      <c r="Z27" s="36">
        <f t="shared" si="5"/>
        <v>0</v>
      </c>
      <c r="AA27" s="89">
        <f t="shared" ca="1" si="10"/>
        <v>0</v>
      </c>
      <c r="AB27" s="89">
        <f>SQRT(SUM(X$6:X27))</f>
        <v>0</v>
      </c>
      <c r="AC27" s="89">
        <f t="shared" ca="1" si="6"/>
        <v>0</v>
      </c>
      <c r="AD27" s="42">
        <f t="shared" si="7"/>
        <v>0</v>
      </c>
      <c r="AE27" s="42">
        <f t="shared" si="8"/>
        <v>0</v>
      </c>
      <c r="AF27" s="38">
        <f ca="1">IFERROR(IF(VLOOKUP($A27,Tasks!$X$4:$AC$30,COLUMN(Tasks!$Y$4)-COLUMN(Tasks!$X$4)+1,FALSE)&gt;0,1,0),0)</f>
        <v>0</v>
      </c>
      <c r="AG27" s="39">
        <f ca="1">IF(AF27,IFERROR(VLOOKUP($A27,Tasks!$X$4:$AC$30,COLUMN(Tasks!$Y$4)-COLUMN(Tasks!$X$4)+1,FALSE),0),U27)</f>
        <v>0</v>
      </c>
      <c r="AH27" s="39">
        <f ca="1">IF(AF27,IFERROR(VLOOKUP($A27,Tasks!$X$4:$AC$30,COLUMN(Tasks!$AB$4)-COLUMN(Tasks!$X$4)+1,FALSE),0),Y27)</f>
        <v>0</v>
      </c>
      <c r="AI27" s="39">
        <f ca="1">IF(AF27,IFERROR(VLOOKUP($A27,Tasks!$X$4:$AC$30,COLUMN(Tasks!$AC$4)-COLUMN(Tasks!$X$4)+1,FALSE),0),Z27)</f>
        <v>0</v>
      </c>
      <c r="AJ27" s="18"/>
      <c r="AK27" s="22"/>
      <c r="AL27" s="22"/>
      <c r="AM27" s="22" t="s">
        <v>39</v>
      </c>
      <c r="AN27" s="22"/>
      <c r="AO27" s="18"/>
      <c r="AP27" s="22"/>
      <c r="AQ27" s="22"/>
    </row>
    <row r="28" spans="1:43" ht="33.75" x14ac:dyDescent="0.2">
      <c r="A28" s="20"/>
      <c r="B28" s="21"/>
      <c r="C28" s="36">
        <f t="shared" ca="1" si="0"/>
        <v>0</v>
      </c>
      <c r="D28" s="37" t="str">
        <f>CONCATENATE(Parameters!$B$2,F28,CHAR(10),Parameters!$B$3,G28,CHAR(10),Parameters!$B$4,H28)</f>
        <v xml:space="preserve">GIVEN 
WHEN 
THEN </v>
      </c>
      <c r="E28" s="21"/>
      <c r="F28" s="21"/>
      <c r="G28" s="22"/>
      <c r="H28" s="22"/>
      <c r="I28" s="21"/>
      <c r="J28" s="21" t="s">
        <v>88</v>
      </c>
      <c r="K28" s="22"/>
      <c r="L28" s="22"/>
      <c r="M28" s="22"/>
      <c r="N28" s="28"/>
      <c r="O28" s="21"/>
      <c r="P28" s="30"/>
      <c r="Q28" s="22"/>
      <c r="R28" s="22"/>
      <c r="S28" s="22"/>
      <c r="T28" s="83"/>
      <c r="U28" s="86">
        <f t="shared" si="1"/>
        <v>0</v>
      </c>
      <c r="V28" s="86">
        <f t="shared" si="9"/>
        <v>0</v>
      </c>
      <c r="W28" s="87">
        <f t="shared" si="2"/>
        <v>0</v>
      </c>
      <c r="X28" s="87">
        <f t="shared" si="3"/>
        <v>0</v>
      </c>
      <c r="Y28" s="36">
        <f t="shared" si="4"/>
        <v>0</v>
      </c>
      <c r="Z28" s="36">
        <f t="shared" si="5"/>
        <v>0</v>
      </c>
      <c r="AA28" s="89">
        <f t="shared" ca="1" si="10"/>
        <v>0</v>
      </c>
      <c r="AB28" s="89">
        <f>SQRT(SUM(X$6:X28))</f>
        <v>0</v>
      </c>
      <c r="AC28" s="89">
        <f t="shared" ca="1" si="6"/>
        <v>0</v>
      </c>
      <c r="AD28" s="42">
        <f t="shared" si="7"/>
        <v>0</v>
      </c>
      <c r="AE28" s="42">
        <f t="shared" si="8"/>
        <v>0</v>
      </c>
      <c r="AF28" s="38">
        <f ca="1">IFERROR(IF(VLOOKUP($A28,Tasks!$X$4:$AC$30,COLUMN(Tasks!$Y$4)-COLUMN(Tasks!$X$4)+1,FALSE)&gt;0,1,0),0)</f>
        <v>0</v>
      </c>
      <c r="AG28" s="39">
        <f ca="1">IF(AF28,IFERROR(VLOOKUP($A28,Tasks!$X$4:$AC$30,COLUMN(Tasks!$Y$4)-COLUMN(Tasks!$X$4)+1,FALSE),0),U28)</f>
        <v>0</v>
      </c>
      <c r="AH28" s="39">
        <f ca="1">IF(AF28,IFERROR(VLOOKUP($A28,Tasks!$X$4:$AC$30,COLUMN(Tasks!$AB$4)-COLUMN(Tasks!$X$4)+1,FALSE),0),Y28)</f>
        <v>0</v>
      </c>
      <c r="AI28" s="39">
        <f ca="1">IF(AF28,IFERROR(VLOOKUP($A28,Tasks!$X$4:$AC$30,COLUMN(Tasks!$AC$4)-COLUMN(Tasks!$X$4)+1,FALSE),0),Z28)</f>
        <v>0</v>
      </c>
      <c r="AJ28" s="18"/>
      <c r="AK28" s="22"/>
      <c r="AL28" s="22"/>
      <c r="AM28" s="22" t="s">
        <v>39</v>
      </c>
      <c r="AN28" s="22"/>
      <c r="AO28" s="18"/>
      <c r="AP28" s="22"/>
      <c r="AQ28" s="22"/>
    </row>
    <row r="29" spans="1:43" ht="33.75" x14ac:dyDescent="0.2">
      <c r="A29" s="20"/>
      <c r="B29" s="21"/>
      <c r="C29" s="36">
        <f t="shared" ca="1" si="0"/>
        <v>0</v>
      </c>
      <c r="D29" s="37" t="str">
        <f>CONCATENATE(Parameters!$B$2,F29,CHAR(10),Parameters!$B$3,G29,CHAR(10),Parameters!$B$4,H29)</f>
        <v xml:space="preserve">GIVEN 
WHEN 
THEN </v>
      </c>
      <c r="E29" s="21"/>
      <c r="F29" s="21"/>
      <c r="G29" s="22"/>
      <c r="H29" s="22"/>
      <c r="I29" s="21"/>
      <c r="J29" s="21" t="s">
        <v>88</v>
      </c>
      <c r="K29" s="22"/>
      <c r="L29" s="22"/>
      <c r="M29" s="22"/>
      <c r="N29" s="28"/>
      <c r="O29" s="21"/>
      <c r="P29" s="30"/>
      <c r="Q29" s="22"/>
      <c r="R29" s="22"/>
      <c r="S29" s="22"/>
      <c r="T29" s="83"/>
      <c r="U29" s="86">
        <f t="shared" si="1"/>
        <v>0</v>
      </c>
      <c r="V29" s="86">
        <f t="shared" si="9"/>
        <v>0</v>
      </c>
      <c r="W29" s="87">
        <f t="shared" si="2"/>
        <v>0</v>
      </c>
      <c r="X29" s="87">
        <f t="shared" si="3"/>
        <v>0</v>
      </c>
      <c r="Y29" s="36">
        <f t="shared" si="4"/>
        <v>0</v>
      </c>
      <c r="Z29" s="36">
        <f t="shared" si="5"/>
        <v>0</v>
      </c>
      <c r="AA29" s="89">
        <f t="shared" ca="1" si="10"/>
        <v>0</v>
      </c>
      <c r="AB29" s="89">
        <f>SQRT(SUM(X$6:X29))</f>
        <v>0</v>
      </c>
      <c r="AC29" s="89">
        <f t="shared" ca="1" si="6"/>
        <v>0</v>
      </c>
      <c r="AD29" s="42">
        <f t="shared" si="7"/>
        <v>0</v>
      </c>
      <c r="AE29" s="42">
        <f t="shared" si="8"/>
        <v>0</v>
      </c>
      <c r="AF29" s="38">
        <f ca="1">IFERROR(IF(VLOOKUP($A29,Tasks!$X$4:$AC$30,COLUMN(Tasks!$Y$4)-COLUMN(Tasks!$X$4)+1,FALSE)&gt;0,1,0),0)</f>
        <v>0</v>
      </c>
      <c r="AG29" s="39">
        <f ca="1">IF(AF29,IFERROR(VLOOKUP($A29,Tasks!$X$4:$AC$30,COLUMN(Tasks!$Y$4)-COLUMN(Tasks!$X$4)+1,FALSE),0),U29)</f>
        <v>0</v>
      </c>
      <c r="AH29" s="39">
        <f ca="1">IF(AF29,IFERROR(VLOOKUP($A29,Tasks!$X$4:$AC$30,COLUMN(Tasks!$AB$4)-COLUMN(Tasks!$X$4)+1,FALSE),0),Y29)</f>
        <v>0</v>
      </c>
      <c r="AI29" s="39">
        <f ca="1">IF(AF29,IFERROR(VLOOKUP($A29,Tasks!$X$4:$AC$30,COLUMN(Tasks!$AC$4)-COLUMN(Tasks!$X$4)+1,FALSE),0),Z29)</f>
        <v>0</v>
      </c>
      <c r="AJ29" s="18"/>
      <c r="AK29" s="22"/>
      <c r="AL29" s="22"/>
      <c r="AM29" s="22" t="s">
        <v>39</v>
      </c>
      <c r="AN29" s="22"/>
      <c r="AO29" s="18"/>
      <c r="AP29" s="22"/>
      <c r="AQ29" s="22"/>
    </row>
    <row r="30" spans="1:43" ht="33.75" x14ac:dyDescent="0.2">
      <c r="A30" s="20"/>
      <c r="B30" s="21"/>
      <c r="C30" s="36">
        <f t="shared" ca="1" si="0"/>
        <v>0</v>
      </c>
      <c r="D30" s="37" t="str">
        <f>CONCATENATE(Parameters!$B$2,F30,CHAR(10),Parameters!$B$3,G30,CHAR(10),Parameters!$B$4,H30)</f>
        <v xml:space="preserve">GIVEN 
WHEN 
THEN </v>
      </c>
      <c r="E30" s="21"/>
      <c r="F30" s="21"/>
      <c r="G30" s="22"/>
      <c r="H30" s="22"/>
      <c r="I30" s="21"/>
      <c r="J30" s="21" t="s">
        <v>88</v>
      </c>
      <c r="K30" s="22"/>
      <c r="L30" s="22"/>
      <c r="M30" s="22"/>
      <c r="N30" s="28"/>
      <c r="O30" s="21"/>
      <c r="P30" s="30"/>
      <c r="Q30" s="22"/>
      <c r="R30" s="22"/>
      <c r="S30" s="22"/>
      <c r="T30" s="83"/>
      <c r="U30" s="86">
        <f t="shared" si="1"/>
        <v>0</v>
      </c>
      <c r="V30" s="86">
        <f t="shared" si="9"/>
        <v>0</v>
      </c>
      <c r="W30" s="87">
        <f t="shared" si="2"/>
        <v>0</v>
      </c>
      <c r="X30" s="87">
        <f t="shared" si="3"/>
        <v>0</v>
      </c>
      <c r="Y30" s="36">
        <f t="shared" si="4"/>
        <v>0</v>
      </c>
      <c r="Z30" s="36">
        <f t="shared" si="5"/>
        <v>0</v>
      </c>
      <c r="AA30" s="89">
        <f t="shared" ca="1" si="10"/>
        <v>0</v>
      </c>
      <c r="AB30" s="89">
        <f>SQRT(SUM(X$6:X30))</f>
        <v>0</v>
      </c>
      <c r="AC30" s="89">
        <f t="shared" ca="1" si="6"/>
        <v>0</v>
      </c>
      <c r="AD30" s="42">
        <f t="shared" si="7"/>
        <v>0</v>
      </c>
      <c r="AE30" s="42">
        <f t="shared" si="8"/>
        <v>0</v>
      </c>
      <c r="AF30" s="38">
        <f ca="1">IFERROR(IF(VLOOKUP($A30,Tasks!$X$4:$AC$30,COLUMN(Tasks!$Y$4)-COLUMN(Tasks!$X$4)+1,FALSE)&gt;0,1,0),0)</f>
        <v>0</v>
      </c>
      <c r="AG30" s="39">
        <f ca="1">IF(AF30,IFERROR(VLOOKUP($A30,Tasks!$X$4:$AC$30,COLUMN(Tasks!$Y$4)-COLUMN(Tasks!$X$4)+1,FALSE),0),U30)</f>
        <v>0</v>
      </c>
      <c r="AH30" s="39">
        <f ca="1">IF(AF30,IFERROR(VLOOKUP($A30,Tasks!$X$4:$AC$30,COLUMN(Tasks!$AB$4)-COLUMN(Tasks!$X$4)+1,FALSE),0),Y30)</f>
        <v>0</v>
      </c>
      <c r="AI30" s="39">
        <f ca="1">IF(AF30,IFERROR(VLOOKUP($A30,Tasks!$X$4:$AC$30,COLUMN(Tasks!$AC$4)-COLUMN(Tasks!$X$4)+1,FALSE),0),Z30)</f>
        <v>0</v>
      </c>
      <c r="AJ30" s="18"/>
      <c r="AK30" s="22"/>
      <c r="AL30" s="22"/>
      <c r="AM30" s="22" t="s">
        <v>39</v>
      </c>
      <c r="AN30" s="22"/>
      <c r="AO30" s="18"/>
      <c r="AP30" s="22"/>
      <c r="AQ30" s="22"/>
    </row>
    <row r="31" spans="1:43" ht="33.75" x14ac:dyDescent="0.2">
      <c r="A31" s="20"/>
      <c r="B31" s="21"/>
      <c r="C31" s="36">
        <f t="shared" ca="1" si="0"/>
        <v>0</v>
      </c>
      <c r="D31" s="37" t="str">
        <f>CONCATENATE(Parameters!$B$2,F31,CHAR(10),Parameters!$B$3,G31,CHAR(10),Parameters!$B$4,H31)</f>
        <v xml:space="preserve">GIVEN 
WHEN 
THEN </v>
      </c>
      <c r="E31" s="21"/>
      <c r="F31" s="21"/>
      <c r="G31" s="22"/>
      <c r="H31" s="22"/>
      <c r="I31" s="21"/>
      <c r="J31" s="21" t="s">
        <v>88</v>
      </c>
      <c r="K31" s="22"/>
      <c r="L31" s="22"/>
      <c r="M31" s="22"/>
      <c r="N31" s="28"/>
      <c r="O31" s="21"/>
      <c r="P31" s="30"/>
      <c r="Q31" s="22"/>
      <c r="R31" s="22"/>
      <c r="S31" s="22"/>
      <c r="T31" s="83"/>
      <c r="U31" s="86">
        <f t="shared" si="1"/>
        <v>0</v>
      </c>
      <c r="V31" s="86">
        <f t="shared" si="9"/>
        <v>0</v>
      </c>
      <c r="W31" s="87">
        <f t="shared" si="2"/>
        <v>0</v>
      </c>
      <c r="X31" s="87">
        <f t="shared" si="3"/>
        <v>0</v>
      </c>
      <c r="Y31" s="36">
        <f t="shared" si="4"/>
        <v>0</v>
      </c>
      <c r="Z31" s="36">
        <f t="shared" si="5"/>
        <v>0</v>
      </c>
      <c r="AA31" s="89">
        <f t="shared" ca="1" si="10"/>
        <v>0</v>
      </c>
      <c r="AB31" s="89">
        <f>SQRT(SUM(X$6:X31))</f>
        <v>0</v>
      </c>
      <c r="AC31" s="89">
        <f t="shared" ca="1" si="6"/>
        <v>0</v>
      </c>
      <c r="AD31" s="42">
        <f t="shared" si="7"/>
        <v>0</v>
      </c>
      <c r="AE31" s="42">
        <f t="shared" si="8"/>
        <v>0</v>
      </c>
      <c r="AF31" s="38">
        <f ca="1">IFERROR(IF(VLOOKUP($A31,Tasks!$X$4:$AC$30,COLUMN(Tasks!$Y$4)-COLUMN(Tasks!$X$4)+1,FALSE)&gt;0,1,0),0)</f>
        <v>0</v>
      </c>
      <c r="AG31" s="39">
        <f ca="1">IF(AF31,IFERROR(VLOOKUP($A31,Tasks!$X$4:$AC$30,COLUMN(Tasks!$Y$4)-COLUMN(Tasks!$X$4)+1,FALSE),0),U31)</f>
        <v>0</v>
      </c>
      <c r="AH31" s="39">
        <f ca="1">IF(AF31,IFERROR(VLOOKUP($A31,Tasks!$X$4:$AC$30,COLUMN(Tasks!$AB$4)-COLUMN(Tasks!$X$4)+1,FALSE),0),Y31)</f>
        <v>0</v>
      </c>
      <c r="AI31" s="39">
        <f ca="1">IF(AF31,IFERROR(VLOOKUP($A31,Tasks!$X$4:$AC$30,COLUMN(Tasks!$AC$4)-COLUMN(Tasks!$X$4)+1,FALSE),0),Z31)</f>
        <v>0</v>
      </c>
      <c r="AJ31" s="18"/>
      <c r="AK31" s="22"/>
      <c r="AL31" s="22"/>
      <c r="AM31" s="22" t="s">
        <v>39</v>
      </c>
      <c r="AN31" s="22"/>
      <c r="AO31" s="18"/>
      <c r="AP31" s="22"/>
      <c r="AQ31" s="22"/>
    </row>
    <row r="32" spans="1:43" ht="33.75" x14ac:dyDescent="0.2">
      <c r="A32" s="20"/>
      <c r="B32" s="21"/>
      <c r="C32" s="36">
        <f t="shared" ca="1" si="0"/>
        <v>0</v>
      </c>
      <c r="D32" s="37" t="str">
        <f>CONCATENATE(Parameters!$B$2,F32,CHAR(10),Parameters!$B$3,G32,CHAR(10),Parameters!$B$4,H32)</f>
        <v xml:space="preserve">GIVEN 
WHEN 
THEN </v>
      </c>
      <c r="E32" s="21"/>
      <c r="F32" s="21"/>
      <c r="G32" s="22"/>
      <c r="H32" s="22"/>
      <c r="I32" s="21"/>
      <c r="J32" s="21" t="s">
        <v>88</v>
      </c>
      <c r="K32" s="22"/>
      <c r="L32" s="22"/>
      <c r="M32" s="22"/>
      <c r="N32" s="28"/>
      <c r="O32" s="21"/>
      <c r="P32" s="110"/>
      <c r="Q32" s="111"/>
      <c r="R32" s="111"/>
      <c r="S32" s="111"/>
      <c r="T32" s="104"/>
      <c r="U32" s="105">
        <f t="shared" si="1"/>
        <v>0</v>
      </c>
      <c r="V32" s="86">
        <f t="shared" si="9"/>
        <v>0</v>
      </c>
      <c r="W32" s="106">
        <f t="shared" si="2"/>
        <v>0</v>
      </c>
      <c r="X32" s="106">
        <f t="shared" si="3"/>
        <v>0</v>
      </c>
      <c r="Y32" s="91">
        <f t="shared" si="4"/>
        <v>0</v>
      </c>
      <c r="Z32" s="91">
        <f t="shared" si="5"/>
        <v>0</v>
      </c>
      <c r="AA32" s="89">
        <f t="shared" ca="1" si="10"/>
        <v>0</v>
      </c>
      <c r="AB32" s="89">
        <f>SQRT(SUM(X$6:X32))</f>
        <v>0</v>
      </c>
      <c r="AC32" s="89">
        <f t="shared" ca="1" si="6"/>
        <v>0</v>
      </c>
      <c r="AD32" s="92">
        <f t="shared" si="7"/>
        <v>0</v>
      </c>
      <c r="AE32" s="42">
        <f t="shared" si="8"/>
        <v>0</v>
      </c>
      <c r="AF32" s="38">
        <f ca="1">IFERROR(IF(VLOOKUP($A32,Tasks!$X$4:$AC$30,COLUMN(Tasks!$Y$4)-COLUMN(Tasks!$X$4)+1,FALSE)&gt;0,1,0),0)</f>
        <v>0</v>
      </c>
      <c r="AG32" s="39">
        <f ca="1">IF(AF32,IFERROR(VLOOKUP($A32,Tasks!$X$4:$AC$30,COLUMN(Tasks!$Y$4)-COLUMN(Tasks!$X$4)+1,FALSE),0),U32)</f>
        <v>0</v>
      </c>
      <c r="AH32" s="39">
        <f ca="1">IF(AF32,IFERROR(VLOOKUP($A32,Tasks!$X$4:$AC$30,COLUMN(Tasks!$AB$4)-COLUMN(Tasks!$X$4)+1,FALSE),0),Y32)</f>
        <v>0</v>
      </c>
      <c r="AI32" s="39">
        <f ca="1">IF(AF32,IFERROR(VLOOKUP($A32,Tasks!$X$4:$AC$30,COLUMN(Tasks!$AC$4)-COLUMN(Tasks!$X$4)+1,FALSE),0),Z32)</f>
        <v>0</v>
      </c>
      <c r="AJ32" s="18"/>
      <c r="AK32" s="22"/>
      <c r="AL32" s="22"/>
      <c r="AM32" s="22" t="s">
        <v>39</v>
      </c>
      <c r="AN32" s="22"/>
      <c r="AO32" s="18"/>
      <c r="AP32" s="22"/>
      <c r="AQ32" s="22"/>
    </row>
    <row r="33" spans="14:31" hidden="1" x14ac:dyDescent="0.2">
      <c r="P33" s="121" t="s">
        <v>26</v>
      </c>
      <c r="Q33" s="122">
        <f>SUMIF($T6:$T32,$T33,Q6:Q32)</f>
        <v>0</v>
      </c>
      <c r="R33" s="122">
        <f>SUMIF($T6:$T32,$T33,R6:R32)</f>
        <v>0</v>
      </c>
      <c r="S33" s="122">
        <f>SUMIF($T6:$T32,$T33,S6:S32)</f>
        <v>0</v>
      </c>
      <c r="T33" s="123">
        <v>0.1</v>
      </c>
      <c r="U33" s="124">
        <f t="shared" si="1"/>
        <v>0</v>
      </c>
      <c r="V33" s="124">
        <f>SUMIF($T$6:$T$32,$T33,V$6:V$32)</f>
        <v>0</v>
      </c>
      <c r="W33" s="125">
        <f>SQRT(SUMIF($T6:$T32,$T33,X6:X32))</f>
        <v>0</v>
      </c>
      <c r="X33" s="125">
        <f t="shared" si="3"/>
        <v>0</v>
      </c>
      <c r="Y33" s="96">
        <f t="shared" si="4"/>
        <v>0</v>
      </c>
      <c r="Z33" s="96">
        <f t="shared" si="5"/>
        <v>0</v>
      </c>
      <c r="AA33" s="97" t="s">
        <v>28</v>
      </c>
      <c r="AB33" s="97" t="s">
        <v>28</v>
      </c>
      <c r="AC33" s="97" t="s">
        <v>28</v>
      </c>
      <c r="AD33" s="98">
        <f t="shared" si="7"/>
        <v>0</v>
      </c>
      <c r="AE33" s="103" t="s">
        <v>28</v>
      </c>
    </row>
    <row r="34" spans="14:31" hidden="1" x14ac:dyDescent="0.2">
      <c r="P34" s="126" t="s">
        <v>26</v>
      </c>
      <c r="Q34" s="127">
        <f>SUMIF($T6:$T32,$T34,Q6:Q32)</f>
        <v>0</v>
      </c>
      <c r="R34" s="127">
        <f>SUMIF($T6:$T32,$T34,R6:R32)</f>
        <v>0</v>
      </c>
      <c r="S34" s="127">
        <f>SUMIF($T6:$T32,$T34,S6:S32)</f>
        <v>0</v>
      </c>
      <c r="T34" s="83">
        <v>0.25</v>
      </c>
      <c r="U34" s="86">
        <f t="shared" si="1"/>
        <v>0</v>
      </c>
      <c r="V34" s="86">
        <f>SUMIF($T$6:$T$32,$T34,V$6:V$32)</f>
        <v>0</v>
      </c>
      <c r="W34" s="87">
        <f>SQRT(SUMIF($T6:$T32,$T34,X6:X32))</f>
        <v>0</v>
      </c>
      <c r="X34" s="87">
        <f t="shared" si="3"/>
        <v>0</v>
      </c>
      <c r="Y34" s="99">
        <f t="shared" si="4"/>
        <v>0</v>
      </c>
      <c r="Z34" s="99">
        <f t="shared" si="5"/>
        <v>0</v>
      </c>
      <c r="AA34" s="89" t="s">
        <v>28</v>
      </c>
      <c r="AB34" s="89" t="s">
        <v>28</v>
      </c>
      <c r="AC34" s="89" t="s">
        <v>28</v>
      </c>
      <c r="AD34" s="100">
        <f t="shared" si="7"/>
        <v>0</v>
      </c>
      <c r="AE34" s="103" t="s">
        <v>28</v>
      </c>
    </row>
    <row r="35" spans="14:31" ht="12" hidden="1" thickBot="1" x14ac:dyDescent="0.25">
      <c r="P35" s="128" t="s">
        <v>26</v>
      </c>
      <c r="Q35" s="129">
        <f>SUMIF($T6:$T32,$T35,Q6:Q32)</f>
        <v>0</v>
      </c>
      <c r="R35" s="129">
        <f>SUMIF($T6:$T32,$T35,R6:R32)</f>
        <v>0</v>
      </c>
      <c r="S35" s="129">
        <f>SUMIF($T6:$T32,$T35,S6:S32)</f>
        <v>0</v>
      </c>
      <c r="T35" s="130">
        <v>0.4</v>
      </c>
      <c r="U35" s="131">
        <f t="shared" si="1"/>
        <v>0</v>
      </c>
      <c r="V35" s="131">
        <f>SUMIF($T$6:$T$32,$T35,V$6:V$32)</f>
        <v>0</v>
      </c>
      <c r="W35" s="132">
        <f>SQRT(SUMIF($T6:$T32,$T35,X6:X32))</f>
        <v>0</v>
      </c>
      <c r="X35" s="132">
        <f t="shared" si="3"/>
        <v>0</v>
      </c>
      <c r="Y35" s="133">
        <f t="shared" si="4"/>
        <v>0</v>
      </c>
      <c r="Z35" s="133">
        <f t="shared" si="5"/>
        <v>0</v>
      </c>
      <c r="AA35" s="101" t="s">
        <v>28</v>
      </c>
      <c r="AB35" s="101" t="s">
        <v>28</v>
      </c>
      <c r="AC35" s="101" t="s">
        <v>28</v>
      </c>
      <c r="AD35" s="102">
        <f t="shared" si="7"/>
        <v>0</v>
      </c>
      <c r="AE35" s="103" t="s">
        <v>28</v>
      </c>
    </row>
    <row r="36" spans="14:31" ht="12" hidden="1" thickBot="1" x14ac:dyDescent="0.25">
      <c r="P36" s="112" t="s">
        <v>22</v>
      </c>
      <c r="Q36" s="113">
        <f>SUM(Q33:Q35)</f>
        <v>0</v>
      </c>
      <c r="R36" s="113">
        <f>SUM(R33:R35)</f>
        <v>0</v>
      </c>
      <c r="S36" s="114">
        <f>SUM(S33:S35)</f>
        <v>0</v>
      </c>
      <c r="T36" s="115" t="s">
        <v>27</v>
      </c>
      <c r="U36" s="116">
        <f t="shared" si="1"/>
        <v>0</v>
      </c>
      <c r="V36" s="116">
        <f>V33+V34+V35</f>
        <v>0</v>
      </c>
      <c r="W36" s="117">
        <f>SQRT(SUM(X33:X35))</f>
        <v>0</v>
      </c>
      <c r="X36" s="117">
        <f t="shared" si="3"/>
        <v>0</v>
      </c>
      <c r="Y36" s="118">
        <f t="shared" si="4"/>
        <v>0</v>
      </c>
      <c r="Z36" s="118">
        <f t="shared" si="5"/>
        <v>0</v>
      </c>
      <c r="AA36" s="119" t="s">
        <v>28</v>
      </c>
      <c r="AB36" s="119" t="s">
        <v>28</v>
      </c>
      <c r="AC36" s="119" t="s">
        <v>28</v>
      </c>
      <c r="AD36" s="120">
        <f t="shared" si="7"/>
        <v>0</v>
      </c>
      <c r="AE36" s="103" t="s">
        <v>28</v>
      </c>
    </row>
    <row r="37" spans="14:31" hidden="1" x14ac:dyDescent="0.2">
      <c r="P37" s="40" t="s">
        <v>47</v>
      </c>
      <c r="Q37" s="82">
        <f>SUMIF($T6:$T32,$T37,Q6:Q32)</f>
        <v>0</v>
      </c>
      <c r="R37" s="82">
        <f>SUMIF($T6:$T32,$T37,R6:R32)</f>
        <v>0</v>
      </c>
      <c r="S37" s="82">
        <f>SUMIF($T6:$T32,$T37,S6:S32)</f>
        <v>0</v>
      </c>
      <c r="T37" s="107" t="s">
        <v>48</v>
      </c>
      <c r="U37" s="108">
        <f t="shared" si="1"/>
        <v>0</v>
      </c>
      <c r="V37" s="124">
        <f>SUMIF($T$6:$T$32,$T37,V$6:V$32)</f>
        <v>0</v>
      </c>
      <c r="W37" s="109">
        <f>SQRT(SUMIF($T6:$T32,$T37,X6:X35))</f>
        <v>0</v>
      </c>
      <c r="X37" s="109">
        <f t="shared" si="3"/>
        <v>0</v>
      </c>
      <c r="Y37" s="93">
        <f t="shared" si="4"/>
        <v>0</v>
      </c>
      <c r="Z37" s="93">
        <f t="shared" si="5"/>
        <v>0</v>
      </c>
      <c r="AA37" s="94" t="s">
        <v>28</v>
      </c>
      <c r="AB37" s="94" t="s">
        <v>28</v>
      </c>
      <c r="AC37" s="94" t="s">
        <v>28</v>
      </c>
      <c r="AD37" s="95">
        <f t="shared" si="7"/>
        <v>0</v>
      </c>
      <c r="AE37" s="42" t="s">
        <v>28</v>
      </c>
    </row>
    <row r="38" spans="14:31" hidden="1" x14ac:dyDescent="0.2">
      <c r="T38" s="84" t="s">
        <v>27</v>
      </c>
      <c r="U38" s="86">
        <f>U36+U37</f>
        <v>0</v>
      </c>
      <c r="V38" s="86">
        <f>V36+V37</f>
        <v>0</v>
      </c>
      <c r="W38" s="86">
        <f>SQRT(X36+X37)</f>
        <v>0</v>
      </c>
      <c r="X38" s="86">
        <f t="shared" si="3"/>
        <v>0</v>
      </c>
      <c r="Y38" s="90">
        <f>U38-W38</f>
        <v>0</v>
      </c>
      <c r="Z38" s="90">
        <f>U38+W38</f>
        <v>0</v>
      </c>
      <c r="AA38" s="89" t="s">
        <v>28</v>
      </c>
      <c r="AB38" s="89" t="s">
        <v>28</v>
      </c>
      <c r="AC38" s="89" t="s">
        <v>28</v>
      </c>
      <c r="AD38" s="42">
        <f t="shared" si="7"/>
        <v>0</v>
      </c>
      <c r="AE38" s="43" t="s">
        <v>28</v>
      </c>
    </row>
    <row r="40" spans="14:31" ht="12" thickBot="1" x14ac:dyDescent="0.25"/>
    <row r="41" spans="14:31" ht="12" thickBot="1" x14ac:dyDescent="0.25">
      <c r="N41" s="29">
        <v>1</v>
      </c>
      <c r="P41" s="121" t="str">
        <f>CONCATENATE("SUBTOTAL SPRINT ",N41)</f>
        <v>SUBTOTAL SPRINT 1</v>
      </c>
      <c r="Q41" s="122">
        <f t="shared" ref="Q41:S45" si="11">SUMIF($N$6:$N$33,$N41,Q$6:Q$33)</f>
        <v>0</v>
      </c>
      <c r="R41" s="122">
        <f t="shared" si="11"/>
        <v>0</v>
      </c>
      <c r="S41" s="122">
        <f t="shared" si="11"/>
        <v>0</v>
      </c>
      <c r="T41" s="123"/>
      <c r="U41" s="124">
        <f t="shared" ref="U41:U45" si="12">(Q41+(3*S41)+R41)/5</f>
        <v>0</v>
      </c>
      <c r="V41" s="122">
        <f t="shared" ref="V41:V45" si="13">SUMIF($N$6:$N$33,$N41,V$6:V$33)</f>
        <v>0</v>
      </c>
      <c r="W41" s="125">
        <f>SQRT(SUMIF($N$6:$N$33,$N41,X$6:X$33))</f>
        <v>0</v>
      </c>
      <c r="X41" s="125">
        <f t="shared" ref="X41:X45" si="14">W41*W41</f>
        <v>0</v>
      </c>
      <c r="Y41" s="96">
        <f t="shared" ref="Y41:Y45" si="15">ROUND(U41-(ROUND(SQRT(X41),0)),0)</f>
        <v>0</v>
      </c>
      <c r="Z41" s="96">
        <f t="shared" ref="Z41:Z45" si="16">ROUND(U41+(ROUND(SQRT(X41),0)),0)</f>
        <v>0</v>
      </c>
      <c r="AA41" s="97" t="s">
        <v>28</v>
      </c>
      <c r="AB41" s="97" t="s">
        <v>28</v>
      </c>
      <c r="AC41" s="97" t="s">
        <v>28</v>
      </c>
      <c r="AD41" s="98">
        <f t="shared" ref="AD41:AD45" si="17">IFERROR(W41/U41,0)</f>
        <v>0</v>
      </c>
      <c r="AE41" s="103" t="s">
        <v>28</v>
      </c>
    </row>
    <row r="42" spans="14:31" ht="12" thickBot="1" x14ac:dyDescent="0.25">
      <c r="N42" s="29">
        <v>2</v>
      </c>
      <c r="P42" s="121" t="str">
        <f>CONCATENATE("SUBTOTAL SPRINT ",N42)</f>
        <v>SUBTOTAL SPRINT 2</v>
      </c>
      <c r="Q42" s="122">
        <f t="shared" si="11"/>
        <v>0</v>
      </c>
      <c r="R42" s="122">
        <f t="shared" si="11"/>
        <v>0</v>
      </c>
      <c r="S42" s="122">
        <f t="shared" si="11"/>
        <v>0</v>
      </c>
      <c r="T42" s="123"/>
      <c r="U42" s="124">
        <f t="shared" si="12"/>
        <v>0</v>
      </c>
      <c r="V42" s="122">
        <f t="shared" si="13"/>
        <v>0</v>
      </c>
      <c r="W42" s="125">
        <f>SQRT(SUMIF($N$6:$N$33,$N42,X$6:X$33))</f>
        <v>0</v>
      </c>
      <c r="X42" s="125">
        <f t="shared" si="14"/>
        <v>0</v>
      </c>
      <c r="Y42" s="96">
        <f t="shared" si="15"/>
        <v>0</v>
      </c>
      <c r="Z42" s="96">
        <f t="shared" si="16"/>
        <v>0</v>
      </c>
      <c r="AA42" s="97" t="s">
        <v>28</v>
      </c>
      <c r="AB42" s="97" t="s">
        <v>28</v>
      </c>
      <c r="AC42" s="97" t="s">
        <v>28</v>
      </c>
      <c r="AD42" s="98">
        <f t="shared" si="17"/>
        <v>0</v>
      </c>
      <c r="AE42" s="103" t="s">
        <v>28</v>
      </c>
    </row>
    <row r="43" spans="14:31" ht="12" thickBot="1" x14ac:dyDescent="0.25">
      <c r="N43" s="29">
        <v>3</v>
      </c>
      <c r="P43" s="121" t="str">
        <f t="shared" ref="P43:P45" si="18">CONCATENATE("SUBTOTAL SPRINT ",N43)</f>
        <v>SUBTOTAL SPRINT 3</v>
      </c>
      <c r="Q43" s="122">
        <f t="shared" si="11"/>
        <v>0</v>
      </c>
      <c r="R43" s="122">
        <f t="shared" si="11"/>
        <v>0</v>
      </c>
      <c r="S43" s="122">
        <f t="shared" si="11"/>
        <v>0</v>
      </c>
      <c r="T43" s="123"/>
      <c r="U43" s="124">
        <f t="shared" si="12"/>
        <v>0</v>
      </c>
      <c r="V43" s="122">
        <f t="shared" si="13"/>
        <v>0</v>
      </c>
      <c r="W43" s="125">
        <f t="shared" ref="W43:W45" si="19">SQRT(SUMIF($N$6:$N$33,$N43,X$6:X$33))</f>
        <v>0</v>
      </c>
      <c r="X43" s="125">
        <f t="shared" si="14"/>
        <v>0</v>
      </c>
      <c r="Y43" s="96">
        <f t="shared" si="15"/>
        <v>0</v>
      </c>
      <c r="Z43" s="96">
        <f t="shared" si="16"/>
        <v>0</v>
      </c>
      <c r="AA43" s="97" t="s">
        <v>28</v>
      </c>
      <c r="AB43" s="97" t="s">
        <v>28</v>
      </c>
      <c r="AC43" s="97" t="s">
        <v>28</v>
      </c>
      <c r="AD43" s="98">
        <f t="shared" si="17"/>
        <v>0</v>
      </c>
      <c r="AE43" s="103" t="s">
        <v>28</v>
      </c>
    </row>
    <row r="44" spans="14:31" ht="12" thickBot="1" x14ac:dyDescent="0.25">
      <c r="N44" s="29">
        <v>4</v>
      </c>
      <c r="P44" s="121" t="str">
        <f t="shared" si="18"/>
        <v>SUBTOTAL SPRINT 4</v>
      </c>
      <c r="Q44" s="122">
        <f t="shared" si="11"/>
        <v>0</v>
      </c>
      <c r="R44" s="122">
        <f t="shared" si="11"/>
        <v>0</v>
      </c>
      <c r="S44" s="122">
        <f t="shared" si="11"/>
        <v>0</v>
      </c>
      <c r="T44" s="123"/>
      <c r="U44" s="124">
        <f t="shared" si="12"/>
        <v>0</v>
      </c>
      <c r="V44" s="122">
        <f t="shared" si="13"/>
        <v>0</v>
      </c>
      <c r="W44" s="125">
        <f t="shared" si="19"/>
        <v>0</v>
      </c>
      <c r="X44" s="125">
        <f t="shared" si="14"/>
        <v>0</v>
      </c>
      <c r="Y44" s="96">
        <f t="shared" si="15"/>
        <v>0</v>
      </c>
      <c r="Z44" s="96">
        <f t="shared" si="16"/>
        <v>0</v>
      </c>
      <c r="AA44" s="97" t="s">
        <v>28</v>
      </c>
      <c r="AB44" s="97" t="s">
        <v>28</v>
      </c>
      <c r="AC44" s="97" t="s">
        <v>28</v>
      </c>
      <c r="AD44" s="98">
        <f t="shared" si="17"/>
        <v>0</v>
      </c>
      <c r="AE44" s="103" t="s">
        <v>28</v>
      </c>
    </row>
    <row r="45" spans="14:31" x14ac:dyDescent="0.2">
      <c r="N45" s="29">
        <v>5</v>
      </c>
      <c r="P45" s="121" t="str">
        <f t="shared" si="18"/>
        <v>SUBTOTAL SPRINT 5</v>
      </c>
      <c r="Q45" s="122">
        <f t="shared" si="11"/>
        <v>0</v>
      </c>
      <c r="R45" s="122">
        <f t="shared" si="11"/>
        <v>0</v>
      </c>
      <c r="S45" s="122">
        <f t="shared" si="11"/>
        <v>0</v>
      </c>
      <c r="T45" s="123"/>
      <c r="U45" s="124">
        <f t="shared" si="12"/>
        <v>0</v>
      </c>
      <c r="V45" s="122">
        <f t="shared" si="13"/>
        <v>0</v>
      </c>
      <c r="W45" s="125">
        <f t="shared" si="19"/>
        <v>0</v>
      </c>
      <c r="X45" s="125">
        <f t="shared" si="14"/>
        <v>0</v>
      </c>
      <c r="Y45" s="96">
        <f t="shared" si="15"/>
        <v>0</v>
      </c>
      <c r="Z45" s="96">
        <f t="shared" si="16"/>
        <v>0</v>
      </c>
      <c r="AA45" s="97" t="s">
        <v>28</v>
      </c>
      <c r="AB45" s="97" t="s">
        <v>28</v>
      </c>
      <c r="AC45" s="97" t="s">
        <v>28</v>
      </c>
      <c r="AD45" s="98">
        <f t="shared" si="17"/>
        <v>0</v>
      </c>
      <c r="AE45" s="103" t="s">
        <v>28</v>
      </c>
    </row>
  </sheetData>
  <autoFilter ref="A5:AQ38">
    <filterColumn colId="3">
      <filters>
        <filter val="GIVEN _x000a_WHEN _x000a_THEN"/>
      </filters>
    </filterColumn>
    <sortState ref="A4:AP36">
      <sortCondition ref="B3"/>
    </sortState>
  </autoFilter>
  <sortState ref="A4:AL36">
    <sortCondition ref="B4:B36"/>
  </sortState>
  <conditionalFormatting sqref="A6:A32">
    <cfRule type="duplicateValues" dxfId="2" priority="5"/>
  </conditionalFormatting>
  <conditionalFormatting sqref="AD6:AD38">
    <cfRule type="cellIs" dxfId="1" priority="4" operator="greaterThan">
      <formula>$T6</formula>
    </cfRule>
  </conditionalFormatting>
  <conditionalFormatting sqref="AE6:AE32">
    <cfRule type="colorScale" priority="3">
      <colorScale>
        <cfvo type="min"/>
        <cfvo type="percentile" val="50"/>
        <cfvo type="max"/>
        <color theme="3" tint="0.79998168889431442"/>
        <color rgb="FFFCFCFF"/>
        <color rgb="FFF8696B"/>
      </colorScale>
    </cfRule>
  </conditionalFormatting>
  <conditionalFormatting sqref="AD33:AD35">
    <cfRule type="cellIs" dxfId="0" priority="1" operator="lessThan">
      <formula>$T33</formula>
    </cfRule>
  </conditionalFormatting>
  <conditionalFormatting sqref="C6:C32">
    <cfRule type="iconSet" priority="6">
      <iconSet iconSet="3Symbols2" showValue="0" reverse="1">
        <cfvo type="percent" val="0"/>
        <cfvo type="num" val="$Y$36" gte="0"/>
        <cfvo type="num" val="$Z$36" gte="0"/>
      </iconSet>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3</xdr:col>
                <xdr:colOff>1104900</xdr:colOff>
                <xdr:row>2</xdr:row>
                <xdr:rowOff>9525</xdr:rowOff>
              </from>
              <to>
                <xdr:col>4</xdr:col>
                <xdr:colOff>0</xdr:colOff>
                <xdr:row>3</xdr:row>
                <xdr:rowOff>133350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ErrorMessage="1">
          <x14:formula1>
            <xm:f>Parameters!$A$2:$A$5</xm:f>
          </x14:formula1>
          <xm:sqref>AM6:AM32</xm:sqref>
        </x14:dataValidation>
        <x14:dataValidation type="list" allowBlank="1" showInputMessage="1" showErrorMessage="1">
          <x14:formula1>
            <xm:f>Parameters!$C$2:$C$3</xm:f>
          </x14:formula1>
          <xm:sqref>J6:J32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4"/>
  <sheetViews>
    <sheetView workbookViewId="0">
      <selection activeCell="B3" sqref="B3"/>
    </sheetView>
  </sheetViews>
  <sheetFormatPr defaultColWidth="53.42578125" defaultRowHeight="11.25" x14ac:dyDescent="0.2"/>
  <cols>
    <col min="1" max="1" width="2.7109375" style="15" bestFit="1" customWidth="1"/>
    <col min="2" max="2" width="72.7109375" style="15" customWidth="1"/>
    <col min="3" max="3" width="14.7109375" style="15" bestFit="1" customWidth="1"/>
    <col min="4" max="4" width="21" style="15" bestFit="1" customWidth="1"/>
    <col min="5" max="5" width="48.42578125" style="15" customWidth="1"/>
    <col min="6" max="6" width="8.42578125" style="15" bestFit="1" customWidth="1"/>
    <col min="7" max="7" width="5" style="29" bestFit="1" customWidth="1"/>
    <col min="8" max="8" width="5.28515625" style="29" bestFit="1" customWidth="1"/>
    <col min="9" max="16384" width="53.42578125" style="15"/>
  </cols>
  <sheetData>
    <row r="1" spans="1:8" s="16" customFormat="1" ht="33.75" x14ac:dyDescent="0.2">
      <c r="A1" s="44" t="str">
        <f>'Acceptance Tests'!A5</f>
        <v>Id</v>
      </c>
      <c r="B1" s="44" t="str">
        <f>'Acceptance Tests'!D5</f>
        <v>Acceptance Test</v>
      </c>
      <c r="C1" s="44" t="str">
        <f>'Acceptance Tests'!K5</f>
        <v>Link to MADI Artifacts</v>
      </c>
      <c r="D1" s="44" t="str">
        <f>'Acceptance Tests'!L5</f>
        <v>Requirement Breakdown
Unique Reference</v>
      </c>
      <c r="E1" s="44" t="str">
        <f>'Acceptance Tests'!P5</f>
        <v>Comment</v>
      </c>
      <c r="F1" s="44" t="str">
        <f>'Acceptance Tests'!T5</f>
        <v>Target
Precision
Level</v>
      </c>
      <c r="G1" s="45" t="str">
        <f>'Acceptance Tests'!Y5</f>
        <v>Lmin</v>
      </c>
      <c r="H1" s="45" t="str">
        <f>'Acceptance Tests'!Z5</f>
        <v>Lmax</v>
      </c>
    </row>
    <row r="2" spans="1:8" ht="33.75" x14ac:dyDescent="0.2">
      <c r="A2" s="46">
        <f>'Acceptance Tests'!A6</f>
        <v>0</v>
      </c>
      <c r="B2" s="46" t="s">
        <v>98</v>
      </c>
      <c r="C2" s="46">
        <f>'Acceptance Tests'!K6</f>
        <v>0</v>
      </c>
      <c r="D2" s="46">
        <f>'Acceptance Tests'!L6</f>
        <v>0</v>
      </c>
      <c r="E2" s="46">
        <f>'Acceptance Tests'!P6</f>
        <v>0</v>
      </c>
      <c r="F2" s="47">
        <f>'Acceptance Tests'!T6</f>
        <v>0</v>
      </c>
      <c r="G2" s="48">
        <f>'Acceptance Tests'!Y6</f>
        <v>0</v>
      </c>
      <c r="H2" s="48">
        <f>'Acceptance Tests'!Z6</f>
        <v>0</v>
      </c>
    </row>
    <row r="3" spans="1:8" ht="33.75" x14ac:dyDescent="0.2">
      <c r="A3" s="46">
        <f>'Acceptance Tests'!A7</f>
        <v>0</v>
      </c>
      <c r="B3" s="46" t="s">
        <v>99</v>
      </c>
      <c r="C3" s="46">
        <f>'Acceptance Tests'!K7</f>
        <v>0</v>
      </c>
      <c r="D3" s="46">
        <f>'Acceptance Tests'!L7</f>
        <v>0</v>
      </c>
      <c r="E3" s="46">
        <f>'Acceptance Tests'!P7</f>
        <v>0</v>
      </c>
      <c r="F3" s="47">
        <f>'Acceptance Tests'!T7</f>
        <v>0</v>
      </c>
      <c r="G3" s="48">
        <f>'Acceptance Tests'!Y7</f>
        <v>0</v>
      </c>
      <c r="H3" s="48">
        <f>'Acceptance Tests'!Z7</f>
        <v>0</v>
      </c>
    </row>
    <row r="4" spans="1:8" ht="33.75" x14ac:dyDescent="0.2">
      <c r="A4" s="46">
        <f>'Acceptance Tests'!A8</f>
        <v>0</v>
      </c>
      <c r="B4" s="46" t="str">
        <f>'Acceptance Tests'!D8</f>
        <v>GIVEN you are logged in as test lead, local editor, master editor
WHEN  chosing to create a test routine
THEN you should be able to add description and create a protocol(Add activities as check list).
You should aso be able to chose periodicity.(one time every morning other.)</v>
      </c>
      <c r="C4" s="46">
        <f>'Acceptance Tests'!K8</f>
        <v>0</v>
      </c>
      <c r="D4" s="46">
        <f>'Acceptance Tests'!L8</f>
        <v>0</v>
      </c>
      <c r="E4" s="46" t="str">
        <f>'Acceptance Tests'!P8</f>
        <v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v>
      </c>
      <c r="F4" s="47">
        <f>'Acceptance Tests'!T8</f>
        <v>0</v>
      </c>
      <c r="G4" s="48">
        <f>'Acceptance Tests'!Y8</f>
        <v>0</v>
      </c>
      <c r="H4" s="48">
        <f>'Acceptance Tests'!Z8</f>
        <v>0</v>
      </c>
    </row>
    <row r="5" spans="1:8" ht="101.25" x14ac:dyDescent="0.2">
      <c r="A5" s="46">
        <f>'Acceptance Tests'!A9</f>
        <v>0</v>
      </c>
      <c r="B5" s="46" t="str">
        <f>'Acceptance Tests'!D9</f>
        <v xml:space="preserve">GIVEN you are logged in as test lead, local editor, master editor
WHEN  chosing to create a test case
THEN You should be able to chose to specify what node(truck function) the thest belongs to.
You should be able to add a description of the test and an expected result.
You should be able to chose for which variants and product class the test case are valid for.
Yoshould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v>
      </c>
      <c r="C5" s="46">
        <f>'Acceptance Tests'!K9</f>
        <v>0</v>
      </c>
      <c r="D5" s="46" t="str">
        <f>'Acceptance Tests'!L9</f>
        <v>TCR1</v>
      </c>
      <c r="E5" s="46">
        <f>'Acceptance Tests'!P9</f>
        <v>0</v>
      </c>
      <c r="F5" s="47">
        <f>'Acceptance Tests'!T9</f>
        <v>0</v>
      </c>
      <c r="G5" s="48">
        <f>'Acceptance Tests'!Y9</f>
        <v>0</v>
      </c>
      <c r="H5" s="48">
        <f>'Acceptance Tests'!Z9</f>
        <v>0</v>
      </c>
    </row>
    <row r="6" spans="1:8" ht="33.75" x14ac:dyDescent="0.2">
      <c r="A6" s="46">
        <f>'Acceptance Tests'!A10</f>
        <v>0</v>
      </c>
      <c r="B6" s="46" t="str">
        <f>'Acceptance Tests'!D10</f>
        <v xml:space="preserve">GIVEN you are logged in as test lead, local editor, master editor
WHEN chosing to edit a test case
THEN You should be able to edit data and save the test case.
Test case will get a new version.
The change will be logged(who and when).
</v>
      </c>
      <c r="C6" s="46">
        <f>'Acceptance Tests'!K10</f>
        <v>0</v>
      </c>
      <c r="D6" s="46" t="str">
        <f>'Acceptance Tests'!L10</f>
        <v>TCR2</v>
      </c>
      <c r="E6" s="46">
        <f>'Acceptance Tests'!P10</f>
        <v>0</v>
      </c>
      <c r="F6" s="47">
        <f>'Acceptance Tests'!T10</f>
        <v>0</v>
      </c>
      <c r="G6" s="48">
        <f>'Acceptance Tests'!Y10</f>
        <v>0</v>
      </c>
      <c r="H6" s="48">
        <f>'Acceptance Tests'!Z10</f>
        <v>0</v>
      </c>
    </row>
    <row r="7" spans="1:8" ht="33.75" x14ac:dyDescent="0.2">
      <c r="A7" s="46">
        <f>'Acceptance Tests'!A11</f>
        <v>0</v>
      </c>
      <c r="B7" s="46" t="str">
        <f>'Acceptance Tests'!D11</f>
        <v>GIVEN you are logged in to the system
WHEN chosing to view a test case
THEN You should be able to see the data connected to the test case</v>
      </c>
      <c r="C7" s="46">
        <f>'Acceptance Tests'!K11</f>
        <v>0</v>
      </c>
      <c r="D7" s="46" t="str">
        <f>'Acceptance Tests'!L11</f>
        <v>TCR3</v>
      </c>
      <c r="E7" s="46">
        <f>'Acceptance Tests'!P11</f>
        <v>0</v>
      </c>
      <c r="F7" s="47">
        <f>'Acceptance Tests'!T11</f>
        <v>0</v>
      </c>
      <c r="G7" s="48">
        <f>'Acceptance Tests'!Y11</f>
        <v>0</v>
      </c>
      <c r="H7" s="48">
        <f>'Acceptance Tests'!Z11</f>
        <v>0</v>
      </c>
    </row>
    <row r="8" spans="1:8" ht="33.75" x14ac:dyDescent="0.2">
      <c r="A8" s="46">
        <f>'Acceptance Tests'!A12</f>
        <v>0</v>
      </c>
      <c r="B8" s="46" t="str">
        <f>'Acceptance Tests'!D12</f>
        <v>GIVEN You are logged in as Master editor to the system
WHEN selecting multiple test cases for editing
THEN You should be able to sort and select test cases and replace words in description and expected results for the selected test cases  or add or remove variants\product classes</v>
      </c>
      <c r="C8" s="46">
        <f>'Acceptance Tests'!K12</f>
        <v>0</v>
      </c>
      <c r="D8" s="46">
        <f>'Acceptance Tests'!L12</f>
        <v>0</v>
      </c>
      <c r="E8" s="46">
        <f>'Acceptance Tests'!P12</f>
        <v>0</v>
      </c>
      <c r="F8" s="47">
        <f>'Acceptance Tests'!T12</f>
        <v>0</v>
      </c>
      <c r="G8" s="48">
        <f>'Acceptance Tests'!Y12</f>
        <v>0</v>
      </c>
      <c r="H8" s="48">
        <f>'Acceptance Tests'!Z12</f>
        <v>0</v>
      </c>
    </row>
    <row r="9" spans="1:8" ht="56.25" x14ac:dyDescent="0.2">
      <c r="A9" s="46">
        <f>'Acceptance Tests'!A13</f>
        <v>0</v>
      </c>
      <c r="B9" s="46" t="str">
        <f>'Acceptance Tests'!D13</f>
        <v>GIVEN You are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C9" s="46">
        <f>'Acceptance Tests'!K13</f>
        <v>0</v>
      </c>
      <c r="D9" s="46">
        <f>'Acceptance Tests'!L13</f>
        <v>0</v>
      </c>
      <c r="E9" s="46">
        <f>'Acceptance Tests'!P13</f>
        <v>0</v>
      </c>
      <c r="F9" s="47">
        <f>'Acceptance Tests'!T13</f>
        <v>0</v>
      </c>
      <c r="G9" s="48">
        <f>'Acceptance Tests'!Y13</f>
        <v>0</v>
      </c>
      <c r="H9" s="48">
        <f>'Acceptance Tests'!Z13</f>
        <v>0</v>
      </c>
    </row>
    <row r="10" spans="1:8" ht="45" x14ac:dyDescent="0.2">
      <c r="A10" s="46">
        <f>'Acceptance Tests'!A14</f>
        <v>0</v>
      </c>
      <c r="B10" s="46" t="str">
        <f>'Acceptance Tests'!D14</f>
        <v>GIVEN You are logged in as Master editor to the system
WHEN Chosing a test sequence or a test case
THEN You should be able to see when test sequence or tests within the sequence were latest used. (This is needed to be able to sort\hide or remove test cases).</v>
      </c>
      <c r="C10" s="46">
        <f>'Acceptance Tests'!K14</f>
        <v>0</v>
      </c>
      <c r="D10" s="46">
        <f>'Acceptance Tests'!L14</f>
        <v>0</v>
      </c>
      <c r="E10" s="46">
        <f>'Acceptance Tests'!P14</f>
        <v>0</v>
      </c>
      <c r="F10" s="47">
        <f>'Acceptance Tests'!T14</f>
        <v>0</v>
      </c>
      <c r="G10" s="48">
        <f>'Acceptance Tests'!Y14</f>
        <v>0</v>
      </c>
      <c r="H10" s="48">
        <f>'Acceptance Tests'!Z14</f>
        <v>0</v>
      </c>
    </row>
    <row r="11" spans="1:8" ht="45" x14ac:dyDescent="0.2">
      <c r="A11" s="46">
        <f>'Acceptance Tests'!A15</f>
        <v>0</v>
      </c>
      <c r="B11" s="46" t="str">
        <f>'Acceptance Tests'!D15</f>
        <v>GIVEN You are logged in as Master editor to the system
WHEN When updating a test case creating a new version
THEN You should be able to address owners of custom test sequence about the change through the system.</v>
      </c>
      <c r="C11" s="46">
        <f>'Acceptance Tests'!K15</f>
        <v>0</v>
      </c>
      <c r="D11" s="46">
        <f>'Acceptance Tests'!L15</f>
        <v>0</v>
      </c>
      <c r="E11" s="46">
        <f>'Acceptance Tests'!P15</f>
        <v>0</v>
      </c>
      <c r="F11" s="47">
        <f>'Acceptance Tests'!T15</f>
        <v>0</v>
      </c>
      <c r="G11" s="48">
        <f>'Acceptance Tests'!Y15</f>
        <v>0</v>
      </c>
      <c r="H11" s="48">
        <f>'Acceptance Tests'!Z15</f>
        <v>0</v>
      </c>
    </row>
    <row r="12" spans="1:8" ht="33.75" x14ac:dyDescent="0.2">
      <c r="A12" s="46">
        <f>'Acceptance Tests'!A16</f>
        <v>0</v>
      </c>
      <c r="B12" s="46" t="str">
        <f>'Acceptance Tests'!D16</f>
        <v xml:space="preserve">GIVEN You are logged in as Master editor to the system
WHEN 
THEN </v>
      </c>
      <c r="C12" s="46">
        <f>'Acceptance Tests'!K16</f>
        <v>0</v>
      </c>
      <c r="D12" s="46">
        <f>'Acceptance Tests'!L16</f>
        <v>0</v>
      </c>
      <c r="E12" s="46">
        <f>'Acceptance Tests'!P16</f>
        <v>0</v>
      </c>
      <c r="F12" s="47">
        <f>'Acceptance Tests'!T16</f>
        <v>0</v>
      </c>
      <c r="G12" s="48">
        <f>'Acceptance Tests'!Y16</f>
        <v>0</v>
      </c>
      <c r="H12" s="48">
        <f>'Acceptance Tests'!Z16</f>
        <v>0</v>
      </c>
    </row>
    <row r="13" spans="1:8" ht="33.75" x14ac:dyDescent="0.2">
      <c r="A13" s="46">
        <f>'Acceptance Tests'!A17</f>
        <v>0</v>
      </c>
      <c r="B13" s="46" t="str">
        <f>'Acceptance Tests'!D17</f>
        <v>GIVEN You are logged in as Master editor to the system
WHEN You should be able to search test cases for different categories(truck functions).
THEN Should be possible to view test cases for different categories (truck functions)</v>
      </c>
      <c r="C13" s="46">
        <f>'Acceptance Tests'!K17</f>
        <v>0</v>
      </c>
      <c r="D13" s="46">
        <f>'Acceptance Tests'!L17</f>
        <v>0</v>
      </c>
      <c r="E13" s="46" t="str">
        <f>'Acceptance Tests'!P17</f>
        <v>Purpose is to see if there is areas lacking test cases or if there is to many test cases.</v>
      </c>
      <c r="F13" s="47">
        <f>'Acceptance Tests'!T17</f>
        <v>0</v>
      </c>
      <c r="G13" s="48">
        <f>'Acceptance Tests'!Y17</f>
        <v>0</v>
      </c>
      <c r="H13" s="48">
        <f>'Acceptance Tests'!Z17</f>
        <v>0</v>
      </c>
    </row>
    <row r="14" spans="1:8" ht="45" x14ac:dyDescent="0.2">
      <c r="A14" s="46">
        <f>'Acceptance Tests'!A18</f>
        <v>0</v>
      </c>
      <c r="B14" s="46" t="str">
        <f>'Acceptance Tests'!D18</f>
        <v>GIVEN You are logged in as Local editor to the system
WHEN When chosing to view test cases
THEN You should have an easy overview of test cases and a possibility to easily extract or share the data with people with no access to the system</v>
      </c>
      <c r="C14" s="46">
        <f>'Acceptance Tests'!K18</f>
        <v>0</v>
      </c>
      <c r="D14" s="46">
        <f>'Acceptance Tests'!L18</f>
        <v>0</v>
      </c>
      <c r="E14" s="46">
        <f>'Acceptance Tests'!P18</f>
        <v>0</v>
      </c>
      <c r="F14" s="47">
        <f>'Acceptance Tests'!T18</f>
        <v>0</v>
      </c>
      <c r="G14" s="48">
        <f>'Acceptance Tests'!Y18</f>
        <v>0</v>
      </c>
      <c r="H14" s="48">
        <f>'Acceptance Tests'!Z18</f>
        <v>0</v>
      </c>
    </row>
    <row r="15" spans="1:8" ht="33.75" x14ac:dyDescent="0.2">
      <c r="A15" s="46">
        <f>'Acceptance Tests'!A19</f>
        <v>0</v>
      </c>
      <c r="B15" s="46" t="str">
        <f>'Acceptance Tests'!D19</f>
        <v>GIVEN You are logged in as Local editor to the system
WHEN when  choosing a variant for a specific product class
THEN You should see valid test cases for that variant and product class combination.</v>
      </c>
      <c r="C15" s="46">
        <f>'Acceptance Tests'!K19</f>
        <v>0</v>
      </c>
      <c r="D15" s="46">
        <f>'Acceptance Tests'!L19</f>
        <v>0</v>
      </c>
      <c r="E15" s="46">
        <f>'Acceptance Tests'!P19</f>
        <v>0</v>
      </c>
      <c r="F15" s="47">
        <f>'Acceptance Tests'!T19</f>
        <v>0</v>
      </c>
      <c r="G15" s="48">
        <f>'Acceptance Tests'!Y19</f>
        <v>0</v>
      </c>
      <c r="H15" s="48">
        <f>'Acceptance Tests'!Z19</f>
        <v>0</v>
      </c>
    </row>
    <row r="16" spans="1:8" ht="56.25" x14ac:dyDescent="0.2">
      <c r="A16" s="46">
        <f>'Acceptance Tests'!A20</f>
        <v>0</v>
      </c>
      <c r="B16" s="46" t="str">
        <f>'Acceptance Tests'!D20</f>
        <v>GIVEN You are logged in as test lead
WHEN when coosing one or more test cases and tag them with predefined tags as( back office, features, testcase version, navigation, raining, snow).  You should be able to add tags to one or more test cases
THEN Test cases should be updated with the tag.</v>
      </c>
      <c r="C16" s="46">
        <f>'Acceptance Tests'!K20</f>
        <v>0</v>
      </c>
      <c r="D16" s="46">
        <f>'Acceptance Tests'!L20</f>
        <v>0</v>
      </c>
      <c r="E16" s="46">
        <f>'Acceptance Tests'!P20</f>
        <v>0</v>
      </c>
      <c r="F16" s="47">
        <f>'Acceptance Tests'!T20</f>
        <v>0</v>
      </c>
      <c r="G16" s="48">
        <f>'Acceptance Tests'!Y20</f>
        <v>0</v>
      </c>
      <c r="H16" s="48">
        <f>'Acceptance Tests'!Z20</f>
        <v>0</v>
      </c>
    </row>
    <row r="17" spans="1:9" ht="33.75" x14ac:dyDescent="0.2">
      <c r="A17" s="46">
        <f>'Acceptance Tests'!A21</f>
        <v>0</v>
      </c>
      <c r="B17" s="46" t="str">
        <f>'Acceptance Tests'!D21</f>
        <v xml:space="preserve">GIVEN 
WHEN 
THEN </v>
      </c>
      <c r="C17" s="46">
        <f>'Acceptance Tests'!K21</f>
        <v>0</v>
      </c>
      <c r="D17" s="46">
        <f>'Acceptance Tests'!L21</f>
        <v>0</v>
      </c>
      <c r="E17" s="46">
        <f>'Acceptance Tests'!P21</f>
        <v>0</v>
      </c>
      <c r="F17" s="47">
        <f>'Acceptance Tests'!T21</f>
        <v>0</v>
      </c>
      <c r="G17" s="48">
        <f>'Acceptance Tests'!Y21</f>
        <v>0</v>
      </c>
      <c r="H17" s="48">
        <f>'Acceptance Tests'!Z21</f>
        <v>0</v>
      </c>
    </row>
    <row r="18" spans="1:9" ht="33.75" x14ac:dyDescent="0.2">
      <c r="A18" s="46">
        <f>'Acceptance Tests'!A22</f>
        <v>0</v>
      </c>
      <c r="B18" s="46" t="str">
        <f>'Acceptance Tests'!D22</f>
        <v xml:space="preserve">GIVEN 
WHEN 
THEN </v>
      </c>
      <c r="C18" s="46">
        <f>'Acceptance Tests'!K22</f>
        <v>0</v>
      </c>
      <c r="D18" s="46">
        <f>'Acceptance Tests'!L22</f>
        <v>0</v>
      </c>
      <c r="E18" s="46">
        <f>'Acceptance Tests'!P22</f>
        <v>0</v>
      </c>
      <c r="F18" s="47">
        <f>'Acceptance Tests'!T22</f>
        <v>0</v>
      </c>
      <c r="G18" s="48">
        <f>'Acceptance Tests'!Y22</f>
        <v>0</v>
      </c>
      <c r="H18" s="48">
        <f>'Acceptance Tests'!Z22</f>
        <v>0</v>
      </c>
    </row>
    <row r="19" spans="1:9" ht="33.75" x14ac:dyDescent="0.2">
      <c r="A19" s="46">
        <f>'Acceptance Tests'!A23</f>
        <v>0</v>
      </c>
      <c r="B19" s="46" t="str">
        <f>'Acceptance Tests'!D23</f>
        <v xml:space="preserve">GIVEN 
WHEN 
THEN </v>
      </c>
      <c r="C19" s="46">
        <f>'Acceptance Tests'!K23</f>
        <v>0</v>
      </c>
      <c r="D19" s="46">
        <f>'Acceptance Tests'!L23</f>
        <v>0</v>
      </c>
      <c r="E19" s="46">
        <f>'Acceptance Tests'!P23</f>
        <v>0</v>
      </c>
      <c r="F19" s="47">
        <f>'Acceptance Tests'!T23</f>
        <v>0</v>
      </c>
      <c r="G19" s="48">
        <f>'Acceptance Tests'!Y23</f>
        <v>0</v>
      </c>
      <c r="H19" s="48">
        <f>'Acceptance Tests'!Z23</f>
        <v>0</v>
      </c>
    </row>
    <row r="20" spans="1:9" ht="33.75" x14ac:dyDescent="0.2">
      <c r="A20" s="46">
        <f>'Acceptance Tests'!A24</f>
        <v>0</v>
      </c>
      <c r="B20" s="46" t="str">
        <f>'Acceptance Tests'!D24</f>
        <v xml:space="preserve">GIVEN 
WHEN 
THEN </v>
      </c>
      <c r="C20" s="46">
        <f>'Acceptance Tests'!K24</f>
        <v>0</v>
      </c>
      <c r="D20" s="46">
        <f>'Acceptance Tests'!L24</f>
        <v>0</v>
      </c>
      <c r="E20" s="46">
        <f>'Acceptance Tests'!P24</f>
        <v>0</v>
      </c>
      <c r="F20" s="47">
        <f>'Acceptance Tests'!T24</f>
        <v>0</v>
      </c>
      <c r="G20" s="48">
        <f>'Acceptance Tests'!Y24</f>
        <v>0</v>
      </c>
      <c r="H20" s="48">
        <f>'Acceptance Tests'!Z24</f>
        <v>0</v>
      </c>
    </row>
    <row r="21" spans="1:9" ht="33.75" x14ac:dyDescent="0.2">
      <c r="A21" s="46">
        <f>'Acceptance Tests'!A25</f>
        <v>0</v>
      </c>
      <c r="B21" s="46" t="str">
        <f>'Acceptance Tests'!D25</f>
        <v xml:space="preserve">GIVEN 
WHEN 
THEN </v>
      </c>
      <c r="C21" s="46">
        <f>'Acceptance Tests'!K25</f>
        <v>0</v>
      </c>
      <c r="D21" s="46">
        <f>'Acceptance Tests'!L25</f>
        <v>0</v>
      </c>
      <c r="E21" s="46">
        <f>'Acceptance Tests'!P25</f>
        <v>0</v>
      </c>
      <c r="F21" s="47">
        <f>'Acceptance Tests'!T25</f>
        <v>0</v>
      </c>
      <c r="G21" s="48">
        <f>'Acceptance Tests'!Y25</f>
        <v>0</v>
      </c>
      <c r="H21" s="48">
        <f>'Acceptance Tests'!Z25</f>
        <v>0</v>
      </c>
    </row>
    <row r="22" spans="1:9" ht="33.75" x14ac:dyDescent="0.2">
      <c r="A22" s="46">
        <f>'Acceptance Tests'!A26</f>
        <v>0</v>
      </c>
      <c r="B22" s="46" t="str">
        <f>'Acceptance Tests'!D26</f>
        <v xml:space="preserve">GIVEN 
WHEN 
THEN </v>
      </c>
      <c r="C22" s="46">
        <f>'Acceptance Tests'!K26</f>
        <v>0</v>
      </c>
      <c r="D22" s="46">
        <f>'Acceptance Tests'!L26</f>
        <v>0</v>
      </c>
      <c r="E22" s="46">
        <f>'Acceptance Tests'!P26</f>
        <v>0</v>
      </c>
      <c r="F22" s="47">
        <f>'Acceptance Tests'!T26</f>
        <v>0</v>
      </c>
      <c r="G22" s="48">
        <f>'Acceptance Tests'!Y26</f>
        <v>0</v>
      </c>
      <c r="H22" s="48">
        <f>'Acceptance Tests'!Z26</f>
        <v>0</v>
      </c>
    </row>
    <row r="23" spans="1:9" ht="33.75" x14ac:dyDescent="0.2">
      <c r="A23" s="46">
        <f>'Acceptance Tests'!A27</f>
        <v>0</v>
      </c>
      <c r="B23" s="46" t="str">
        <f>'Acceptance Tests'!D27</f>
        <v xml:space="preserve">GIVEN 
WHEN 
THEN </v>
      </c>
      <c r="C23" s="46">
        <f>'Acceptance Tests'!K27</f>
        <v>0</v>
      </c>
      <c r="D23" s="46">
        <f>'Acceptance Tests'!L27</f>
        <v>0</v>
      </c>
      <c r="E23" s="46">
        <f>'Acceptance Tests'!P27</f>
        <v>0</v>
      </c>
      <c r="F23" s="47">
        <f>'Acceptance Tests'!T27</f>
        <v>0</v>
      </c>
      <c r="G23" s="48">
        <f>'Acceptance Tests'!Y27</f>
        <v>0</v>
      </c>
      <c r="H23" s="48">
        <f>'Acceptance Tests'!Z27</f>
        <v>0</v>
      </c>
    </row>
    <row r="24" spans="1:9" ht="33.75" x14ac:dyDescent="0.2">
      <c r="A24" s="46">
        <f>'Acceptance Tests'!A28</f>
        <v>0</v>
      </c>
      <c r="B24" s="46" t="str">
        <f>'Acceptance Tests'!D28</f>
        <v xml:space="preserve">GIVEN 
WHEN 
THEN </v>
      </c>
      <c r="C24" s="46">
        <f>'Acceptance Tests'!K28</f>
        <v>0</v>
      </c>
      <c r="D24" s="46">
        <f>'Acceptance Tests'!L28</f>
        <v>0</v>
      </c>
      <c r="E24" s="46">
        <f>'Acceptance Tests'!P28</f>
        <v>0</v>
      </c>
      <c r="F24" s="47">
        <f>'Acceptance Tests'!T28</f>
        <v>0</v>
      </c>
      <c r="G24" s="48">
        <f>'Acceptance Tests'!Y28</f>
        <v>0</v>
      </c>
      <c r="H24" s="48">
        <f>'Acceptance Tests'!Z28</f>
        <v>0</v>
      </c>
    </row>
    <row r="25" spans="1:9" ht="33.75" x14ac:dyDescent="0.2">
      <c r="A25" s="46">
        <f>'Acceptance Tests'!A29</f>
        <v>0</v>
      </c>
      <c r="B25" s="46" t="str">
        <f>'Acceptance Tests'!D29</f>
        <v xml:space="preserve">GIVEN 
WHEN 
THEN </v>
      </c>
      <c r="C25" s="46">
        <f>'Acceptance Tests'!K29</f>
        <v>0</v>
      </c>
      <c r="D25" s="46">
        <f>'Acceptance Tests'!L29</f>
        <v>0</v>
      </c>
      <c r="E25" s="46">
        <f>'Acceptance Tests'!P29</f>
        <v>0</v>
      </c>
      <c r="F25" s="47">
        <f>'Acceptance Tests'!T29</f>
        <v>0</v>
      </c>
      <c r="G25" s="48">
        <f>'Acceptance Tests'!Y29</f>
        <v>0</v>
      </c>
      <c r="H25" s="48">
        <f>'Acceptance Tests'!Z29</f>
        <v>0</v>
      </c>
    </row>
    <row r="26" spans="1:9" ht="33.75" x14ac:dyDescent="0.2">
      <c r="A26" s="46">
        <f>'Acceptance Tests'!A30</f>
        <v>0</v>
      </c>
      <c r="B26" s="46" t="str">
        <f>'Acceptance Tests'!D30</f>
        <v xml:space="preserve">GIVEN 
WHEN 
THEN </v>
      </c>
      <c r="C26" s="46">
        <f>'Acceptance Tests'!K30</f>
        <v>0</v>
      </c>
      <c r="D26" s="46">
        <f>'Acceptance Tests'!L30</f>
        <v>0</v>
      </c>
      <c r="E26" s="46">
        <f>'Acceptance Tests'!P30</f>
        <v>0</v>
      </c>
      <c r="F26" s="47">
        <f>'Acceptance Tests'!T30</f>
        <v>0</v>
      </c>
      <c r="G26" s="48">
        <f>'Acceptance Tests'!Y30</f>
        <v>0</v>
      </c>
      <c r="H26" s="48">
        <f>'Acceptance Tests'!Z30</f>
        <v>0</v>
      </c>
    </row>
    <row r="27" spans="1:9" ht="33.75" x14ac:dyDescent="0.2">
      <c r="A27" s="46">
        <f>'Acceptance Tests'!A31</f>
        <v>0</v>
      </c>
      <c r="B27" s="46" t="str">
        <f>'Acceptance Tests'!D31</f>
        <v xml:space="preserve">GIVEN 
WHEN 
THEN </v>
      </c>
      <c r="C27" s="46">
        <f>'Acceptance Tests'!K31</f>
        <v>0</v>
      </c>
      <c r="D27" s="46">
        <f>'Acceptance Tests'!L31</f>
        <v>0</v>
      </c>
      <c r="E27" s="46">
        <f>'Acceptance Tests'!P31</f>
        <v>0</v>
      </c>
      <c r="F27" s="47">
        <f>'Acceptance Tests'!T31</f>
        <v>0</v>
      </c>
      <c r="G27" s="48">
        <f>'Acceptance Tests'!Y31</f>
        <v>0</v>
      </c>
      <c r="H27" s="48">
        <f>'Acceptance Tests'!Z31</f>
        <v>0</v>
      </c>
    </row>
    <row r="28" spans="1:9" ht="33.75" x14ac:dyDescent="0.2">
      <c r="A28" s="46">
        <f>'Acceptance Tests'!A32</f>
        <v>0</v>
      </c>
      <c r="B28" s="46" t="str">
        <f>'Acceptance Tests'!D32</f>
        <v xml:space="preserve">GIVEN 
WHEN 
THEN </v>
      </c>
      <c r="C28" s="46">
        <f>'Acceptance Tests'!K32</f>
        <v>0</v>
      </c>
      <c r="D28" s="46">
        <f>'Acceptance Tests'!L32</f>
        <v>0</v>
      </c>
      <c r="E28" s="46">
        <f>'Acceptance Tests'!P32</f>
        <v>0</v>
      </c>
      <c r="F28" s="47">
        <f>'Acceptance Tests'!T32</f>
        <v>0</v>
      </c>
      <c r="G28" s="48">
        <f>'Acceptance Tests'!Y32</f>
        <v>0</v>
      </c>
      <c r="H28" s="48">
        <f>'Acceptance Tests'!Z32</f>
        <v>0</v>
      </c>
    </row>
    <row r="29" spans="1:9" x14ac:dyDescent="0.2">
      <c r="E29" s="44" t="str">
        <f>'Acceptance Tests'!P33</f>
        <v>SUBTOTAL</v>
      </c>
      <c r="F29" s="49">
        <f>'Acceptance Tests'!T33</f>
        <v>0.1</v>
      </c>
      <c r="G29" s="48">
        <f>'Acceptance Tests'!Y33</f>
        <v>0</v>
      </c>
      <c r="H29" s="48">
        <f>'Acceptance Tests'!Z33</f>
        <v>0</v>
      </c>
      <c r="I29" s="135">
        <f>'Acceptance Tests'!AD34</f>
        <v>0</v>
      </c>
    </row>
    <row r="30" spans="1:9" x14ac:dyDescent="0.2">
      <c r="E30" s="44" t="str">
        <f>'Acceptance Tests'!P34</f>
        <v>SUBTOTAL</v>
      </c>
      <c r="F30" s="49">
        <f>'Acceptance Tests'!T34</f>
        <v>0.25</v>
      </c>
      <c r="G30" s="48">
        <f>'Acceptance Tests'!Y34</f>
        <v>0</v>
      </c>
      <c r="H30" s="48">
        <f>'Acceptance Tests'!Z34</f>
        <v>0</v>
      </c>
      <c r="I30" s="135">
        <f>'Acceptance Tests'!AD35</f>
        <v>0</v>
      </c>
    </row>
    <row r="31" spans="1:9" x14ac:dyDescent="0.2">
      <c r="E31" s="44" t="str">
        <f>'Acceptance Tests'!P35</f>
        <v>SUBTOTAL</v>
      </c>
      <c r="F31" s="49">
        <f>'Acceptance Tests'!T35</f>
        <v>0.4</v>
      </c>
      <c r="G31" s="48">
        <f>'Acceptance Tests'!Y35</f>
        <v>0</v>
      </c>
      <c r="H31" s="48">
        <f>'Acceptance Tests'!Z35</f>
        <v>0</v>
      </c>
      <c r="I31" s="135">
        <f>'Acceptance Tests'!AD36</f>
        <v>0</v>
      </c>
    </row>
    <row r="32" spans="1:9" x14ac:dyDescent="0.2">
      <c r="E32" s="44" t="str">
        <f>'Acceptance Tests'!P36</f>
        <v>SUM</v>
      </c>
      <c r="F32" s="44" t="str">
        <f>'Acceptance Tests'!T36</f>
        <v>TOTAL</v>
      </c>
      <c r="G32" s="48">
        <f>'Acceptance Tests'!Y36</f>
        <v>0</v>
      </c>
      <c r="H32" s="48">
        <f>'Acceptance Tests'!Z36</f>
        <v>0</v>
      </c>
      <c r="I32" s="135">
        <f>'Acceptance Tests'!AD37</f>
        <v>0</v>
      </c>
    </row>
    <row r="33" spans="5:9" x14ac:dyDescent="0.2">
      <c r="E33" s="44" t="str">
        <f>'Acceptance Tests'!P37</f>
        <v>Out of Scope</v>
      </c>
      <c r="F33" s="44" t="str">
        <f>'Acceptance Tests'!T37</f>
        <v>OoS</v>
      </c>
      <c r="G33" s="48">
        <f>'Acceptance Tests'!Y37</f>
        <v>0</v>
      </c>
      <c r="H33" s="48">
        <f>'Acceptance Tests'!Z37</f>
        <v>0</v>
      </c>
      <c r="I33" s="135">
        <f>'Acceptance Tests'!AD38</f>
        <v>0</v>
      </c>
    </row>
    <row r="34" spans="5:9" x14ac:dyDescent="0.2">
      <c r="E34" s="46"/>
      <c r="F34" s="44" t="str">
        <f>'Acceptance Tests'!T38</f>
        <v>TOTAL</v>
      </c>
      <c r="G34" s="48">
        <f>'Acceptance Tests'!Y38</f>
        <v>0</v>
      </c>
      <c r="H34" s="48">
        <f>'Acceptance Tests'!Z38</f>
        <v>0</v>
      </c>
      <c r="I34" s="135">
        <f>'Acceptance Tests'!AD39</f>
        <v>0</v>
      </c>
    </row>
  </sheetData>
  <pageMargins left="0.7" right="0.7" top="0.75" bottom="0.75" header="0.3" footer="0.3"/>
  <pageSetup orientation="portrait" horizontalDpi="300" verticalDpi="0"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E35"/>
  <sheetViews>
    <sheetView zoomScale="90" zoomScaleNormal="90" workbookViewId="0">
      <pane xSplit="5" ySplit="3" topLeftCell="F4" activePane="bottomRight" state="frozen"/>
      <selection pane="topRight" activeCell="B1" sqref="B1"/>
      <selection pane="bottomLeft" activeCell="A2" sqref="A2"/>
      <selection pane="bottomRight" activeCell="AD36" sqref="AD36"/>
    </sheetView>
  </sheetViews>
  <sheetFormatPr defaultColWidth="79.42578125" defaultRowHeight="12.75" x14ac:dyDescent="0.2"/>
  <cols>
    <col min="1" max="1" width="9.7109375" style="13" bestFit="1" customWidth="1"/>
    <col min="2" max="2" width="4" style="13" bestFit="1" customWidth="1"/>
    <col min="3" max="3" width="15.5703125" style="6" customWidth="1"/>
    <col min="4" max="4" width="15.28515625" style="57" bestFit="1" customWidth="1"/>
    <col min="5" max="5" width="12" style="6" customWidth="1"/>
    <col min="6" max="6" width="11.7109375" style="6" bestFit="1" customWidth="1"/>
    <col min="7" max="7" width="8.42578125" style="57" bestFit="1" customWidth="1"/>
    <col min="8" max="8" width="9.42578125" style="14" bestFit="1" customWidth="1"/>
    <col min="9" max="9" width="10.42578125" style="14" bestFit="1" customWidth="1"/>
    <col min="10" max="10" width="9.42578125" style="14" bestFit="1" customWidth="1"/>
    <col min="11" max="11" width="9.42578125" style="14" customWidth="1"/>
    <col min="12" max="12" width="9.5703125" style="14" hidden="1" customWidth="1"/>
    <col min="13" max="13" width="12" style="14" hidden="1" customWidth="1"/>
    <col min="14" max="14" width="9.42578125" style="14" bestFit="1" customWidth="1"/>
    <col min="15" max="15" width="10.42578125" style="14" bestFit="1" customWidth="1"/>
    <col min="16" max="20" width="9.42578125" style="14" bestFit="1" customWidth="1"/>
    <col min="21" max="21" width="6" style="14" bestFit="1" customWidth="1"/>
    <col min="22" max="23" width="12.85546875" style="14" customWidth="1"/>
    <col min="24" max="27" width="12.7109375" style="14" customWidth="1"/>
    <col min="28" max="28" width="16.140625" style="14" customWidth="1"/>
    <col min="29" max="29" width="16.5703125" style="14" customWidth="1"/>
    <col min="30" max="30" width="13.85546875" style="14" bestFit="1" customWidth="1"/>
    <col min="31" max="31" width="9.5703125" style="14" bestFit="1" customWidth="1"/>
    <col min="32" max="16384" width="79.42578125" style="13"/>
  </cols>
  <sheetData>
    <row r="1" spans="1:31" ht="15.75" x14ac:dyDescent="0.25">
      <c r="A1" s="147" t="s">
        <v>62</v>
      </c>
      <c r="B1" s="147"/>
      <c r="C1" s="147"/>
      <c r="D1" s="147"/>
      <c r="E1" s="147"/>
    </row>
    <row r="3" spans="1:31" s="17" customFormat="1" ht="38.25" x14ac:dyDescent="0.2">
      <c r="A3" s="54" t="s">
        <v>53</v>
      </c>
      <c r="B3" s="54" t="s">
        <v>29</v>
      </c>
      <c r="C3" s="54" t="s">
        <v>52</v>
      </c>
      <c r="D3" s="56" t="s">
        <v>63</v>
      </c>
      <c r="E3" s="54" t="s">
        <v>42</v>
      </c>
      <c r="F3" s="54" t="s">
        <v>23</v>
      </c>
      <c r="G3" s="56" t="s">
        <v>25</v>
      </c>
      <c r="H3" s="55" t="s">
        <v>16</v>
      </c>
      <c r="I3" s="55" t="s">
        <v>18</v>
      </c>
      <c r="J3" s="55" t="s">
        <v>17</v>
      </c>
      <c r="K3" s="55" t="s">
        <v>19</v>
      </c>
      <c r="L3" s="55" t="s">
        <v>20</v>
      </c>
      <c r="M3" s="55" t="s">
        <v>21</v>
      </c>
      <c r="N3" s="55" t="s">
        <v>60</v>
      </c>
      <c r="O3" s="55" t="s">
        <v>61</v>
      </c>
      <c r="P3" s="55" t="s">
        <v>64</v>
      </c>
      <c r="Q3" s="55" t="s">
        <v>65</v>
      </c>
      <c r="R3" s="55" t="s">
        <v>66</v>
      </c>
      <c r="S3" s="55" t="s">
        <v>67</v>
      </c>
      <c r="T3" s="55" t="s">
        <v>68</v>
      </c>
      <c r="U3" s="55" t="s">
        <v>69</v>
      </c>
      <c r="V3" s="55" t="s">
        <v>70</v>
      </c>
      <c r="W3" s="55" t="s">
        <v>71</v>
      </c>
      <c r="X3" s="55" t="s">
        <v>72</v>
      </c>
      <c r="Y3" s="55" t="s">
        <v>73</v>
      </c>
      <c r="Z3" s="55" t="s">
        <v>80</v>
      </c>
      <c r="AA3" s="55" t="s">
        <v>81</v>
      </c>
      <c r="AB3" s="55" t="s">
        <v>74</v>
      </c>
      <c r="AC3" s="55" t="s">
        <v>75</v>
      </c>
      <c r="AD3" s="55" t="s">
        <v>76</v>
      </c>
      <c r="AE3" s="55" t="s">
        <v>77</v>
      </c>
    </row>
    <row r="4" spans="1:31" x14ac:dyDescent="0.2">
      <c r="A4" s="60" t="str">
        <f>CONCATENATE(B4,":",D4)</f>
        <v>:</v>
      </c>
      <c r="B4" s="61"/>
      <c r="C4" s="60" t="e">
        <f>VLOOKUP(B4,'Acceptance Tests'!$A$6:$D$32,COLUMN('Acceptance Tests'!$D$6)-COLUMN('Acceptance Tests'!$A$6)+1,FALSE)</f>
        <v>#N/A</v>
      </c>
      <c r="D4" s="63"/>
      <c r="E4" s="61"/>
      <c r="F4" s="62"/>
      <c r="G4" s="68" t="e">
        <f>VLOOKUP($B4,'Acceptance Tests'!A$6:N$32,COLUMN('Acceptance Tests'!N$6)-COLUMN('Acceptance Tests'!A$6)+1,FALSE)</f>
        <v>#N/A</v>
      </c>
      <c r="H4" s="69"/>
      <c r="I4" s="69"/>
      <c r="J4" s="69"/>
      <c r="K4" s="68">
        <f t="shared" ref="K4:K30" si="0">(H4+(3*J4)+I4)/5</f>
        <v>0</v>
      </c>
      <c r="L4" s="68">
        <f t="shared" ref="L4:L30" si="1">(I4-H4)/5</f>
        <v>0</v>
      </c>
      <c r="M4" s="68">
        <f t="shared" ref="M4:M31" si="2">L4*L4</f>
        <v>0</v>
      </c>
      <c r="N4" s="68">
        <f>ROUND(K4-(ROUND(SQRT(M4),0)),0)</f>
        <v>0</v>
      </c>
      <c r="O4" s="68">
        <f>ROUND(K4+(ROUND(SQRT(M4),0)),0)</f>
        <v>0</v>
      </c>
      <c r="P4" s="68">
        <f t="shared" ref="P4:P30" si="3">K4</f>
        <v>0</v>
      </c>
      <c r="Q4" s="70">
        <f t="shared" ref="Q4:Q19" si="4">P4</f>
        <v>0</v>
      </c>
      <c r="R4" s="70">
        <f t="shared" ref="R4:R30" si="5">Q4</f>
        <v>0</v>
      </c>
      <c r="S4" s="70">
        <f t="shared" ref="S4:S30" si="6">R4</f>
        <v>0</v>
      </c>
      <c r="T4" s="70">
        <f t="shared" ref="T4:T30" si="7">S4</f>
        <v>0</v>
      </c>
      <c r="U4" s="70">
        <f t="shared" ref="U4:U30" si="8">T4</f>
        <v>0</v>
      </c>
      <c r="V4" s="74" t="e">
        <f ca="1">SUMIF(G$4:G$30,G4,OFFSET(P$4:P$30,0,AE4))</f>
        <v>#N/A</v>
      </c>
      <c r="W4" s="74" t="e">
        <f ca="1">SUMIF(B$4:B$30,B4,OFFSET(P$4:P$30,0,AE4))</f>
        <v>#N/A</v>
      </c>
      <c r="X4" s="74" t="e">
        <f ca="1">IF(AND(W4=0,D4=1),B4,0)</f>
        <v>#N/A</v>
      </c>
      <c r="Y4" s="75" t="e">
        <f t="shared" ref="Y4:Y30" ca="1" si="9">IF($X4,SUMIF($B$4:$B$30,$B4,K$4:K$30),0)</f>
        <v>#N/A</v>
      </c>
      <c r="Z4" s="75" t="e">
        <f ca="1">IF($X4,SQRT(SUMIF($B$4:$B$30,$B4,M$4:M$30)),0)</f>
        <v>#N/A</v>
      </c>
      <c r="AA4" s="75" t="e">
        <f ca="1">IF($X4,Z4*Z4,0)</f>
        <v>#N/A</v>
      </c>
      <c r="AB4" s="75" t="e">
        <f ca="1">IF($X4,Y4-Z4,0)</f>
        <v>#N/A</v>
      </c>
      <c r="AC4" s="75" t="e">
        <f ca="1">IF($X4,Y4+Z4,0)</f>
        <v>#N/A</v>
      </c>
      <c r="AD4" s="59" t="s">
        <v>28</v>
      </c>
      <c r="AE4" s="59" t="e">
        <f>LOOKUP(G4,G$31:G$35,AE$31:AE$35)</f>
        <v>#N/A</v>
      </c>
    </row>
    <row r="5" spans="1:31" x14ac:dyDescent="0.2">
      <c r="A5" s="53" t="str">
        <f t="shared" ref="A5:A30" si="10">CONCATENATE(B5,":",D5)</f>
        <v>:</v>
      </c>
      <c r="B5" s="10"/>
      <c r="C5" s="60" t="e">
        <f>VLOOKUP(B5,'Acceptance Tests'!$A$6:$D$32,COLUMN('Acceptance Tests'!$D$6)-COLUMN('Acceptance Tests'!$A$6)+1,FALSE)</f>
        <v>#N/A</v>
      </c>
      <c r="D5" s="58"/>
      <c r="E5" s="10"/>
      <c r="F5" s="50"/>
      <c r="G5" s="68" t="e">
        <f>VLOOKUP($B5,'Acceptance Tests'!A$6:N$32,COLUMN('Acceptance Tests'!N$6)-COLUMN('Acceptance Tests'!A$6)+1,FALSE)</f>
        <v>#N/A</v>
      </c>
      <c r="H5" s="70"/>
      <c r="I5" s="70"/>
      <c r="J5" s="70"/>
      <c r="K5" s="71">
        <f t="shared" si="0"/>
        <v>0</v>
      </c>
      <c r="L5" s="71">
        <f t="shared" si="1"/>
        <v>0</v>
      </c>
      <c r="M5" s="71">
        <f t="shared" si="2"/>
        <v>0</v>
      </c>
      <c r="N5" s="71">
        <f t="shared" ref="N5:N31" si="11">ROUND(K5-(ROUND(SQRT(M5),0)),0)</f>
        <v>0</v>
      </c>
      <c r="O5" s="71">
        <f t="shared" ref="O5:O31" si="12">ROUND(K5+(ROUND(SQRT(M5),0)),0)</f>
        <v>0</v>
      </c>
      <c r="P5" s="71">
        <f t="shared" si="3"/>
        <v>0</v>
      </c>
      <c r="Q5" s="70">
        <f t="shared" si="4"/>
        <v>0</v>
      </c>
      <c r="R5" s="70">
        <f t="shared" si="5"/>
        <v>0</v>
      </c>
      <c r="S5" s="70">
        <f t="shared" si="6"/>
        <v>0</v>
      </c>
      <c r="T5" s="70">
        <f t="shared" si="7"/>
        <v>0</v>
      </c>
      <c r="U5" s="70">
        <f t="shared" si="8"/>
        <v>0</v>
      </c>
      <c r="V5" s="74" t="e">
        <f t="shared" ref="V5:V30" ca="1" si="13">SUMIF(G$4:G$30,G5,OFFSET(P$4:P$30,0,AE5))</f>
        <v>#N/A</v>
      </c>
      <c r="W5" s="74" t="e">
        <f t="shared" ref="W5:W30" ca="1" si="14">SUMIF(B$4:B$30,B5,OFFSET(P$4:P$30,0,AE5))</f>
        <v>#N/A</v>
      </c>
      <c r="X5" s="75" t="e">
        <f t="shared" ref="X5:X30" ca="1" si="15">IF(AND(W5=0,D5=1),B5,0)</f>
        <v>#N/A</v>
      </c>
      <c r="Y5" s="75" t="e">
        <f t="shared" ca="1" si="9"/>
        <v>#N/A</v>
      </c>
      <c r="Z5" s="75" t="e">
        <f t="shared" ref="Z5:Z30" ca="1" si="16">IF($X5,SQRT(SUMIF($B$4:$B$30,$B5,M$4:M$30)),0)</f>
        <v>#N/A</v>
      </c>
      <c r="AA5" s="75" t="e">
        <f t="shared" ref="AA5:AA30" ca="1" si="17">IF($X5,Z5*Z5,0)</f>
        <v>#N/A</v>
      </c>
      <c r="AB5" s="75" t="e">
        <f t="shared" ref="AB5:AB30" ca="1" si="18">IF($X5,Y5-Z5,0)</f>
        <v>#N/A</v>
      </c>
      <c r="AC5" s="75" t="e">
        <f t="shared" ref="AC5:AC30" ca="1" si="19">IF($X5,Y5+Z5,0)</f>
        <v>#N/A</v>
      </c>
      <c r="AD5" s="64" t="s">
        <v>28</v>
      </c>
      <c r="AE5" s="59" t="e">
        <f t="shared" ref="AE5:AE30" si="20">LOOKUP(G5,G$31:G$35,AE$31:AE$35)</f>
        <v>#N/A</v>
      </c>
    </row>
    <row r="6" spans="1:31" x14ac:dyDescent="0.2">
      <c r="A6" s="53" t="str">
        <f t="shared" si="10"/>
        <v>:</v>
      </c>
      <c r="B6" s="10"/>
      <c r="C6" s="60" t="e">
        <f>VLOOKUP(B6,'Acceptance Tests'!$A$6:$D$32,COLUMN('Acceptance Tests'!$D$6)-COLUMN('Acceptance Tests'!$A$6)+1,FALSE)</f>
        <v>#N/A</v>
      </c>
      <c r="D6" s="58"/>
      <c r="E6" s="10"/>
      <c r="F6" s="50"/>
      <c r="G6" s="68" t="e">
        <f>VLOOKUP($B6,'Acceptance Tests'!A$6:N$32,COLUMN('Acceptance Tests'!N$6)-COLUMN('Acceptance Tests'!A$6)+1,FALSE)</f>
        <v>#N/A</v>
      </c>
      <c r="H6" s="70"/>
      <c r="I6" s="70"/>
      <c r="J6" s="70"/>
      <c r="K6" s="71">
        <f t="shared" si="0"/>
        <v>0</v>
      </c>
      <c r="L6" s="71">
        <f t="shared" si="1"/>
        <v>0</v>
      </c>
      <c r="M6" s="71">
        <f t="shared" si="2"/>
        <v>0</v>
      </c>
      <c r="N6" s="71">
        <f t="shared" si="11"/>
        <v>0</v>
      </c>
      <c r="O6" s="71">
        <f t="shared" si="12"/>
        <v>0</v>
      </c>
      <c r="P6" s="71">
        <f t="shared" si="3"/>
        <v>0</v>
      </c>
      <c r="Q6" s="70">
        <f t="shared" si="4"/>
        <v>0</v>
      </c>
      <c r="R6" s="70">
        <f t="shared" si="5"/>
        <v>0</v>
      </c>
      <c r="S6" s="70">
        <f t="shared" si="6"/>
        <v>0</v>
      </c>
      <c r="T6" s="70">
        <f t="shared" si="7"/>
        <v>0</v>
      </c>
      <c r="U6" s="70">
        <f t="shared" si="8"/>
        <v>0</v>
      </c>
      <c r="V6" s="74" t="e">
        <f t="shared" ca="1" si="13"/>
        <v>#N/A</v>
      </c>
      <c r="W6" s="74" t="e">
        <f t="shared" ca="1" si="14"/>
        <v>#N/A</v>
      </c>
      <c r="X6" s="75" t="e">
        <f t="shared" ca="1" si="15"/>
        <v>#N/A</v>
      </c>
      <c r="Y6" s="75" t="e">
        <f t="shared" ca="1" si="9"/>
        <v>#N/A</v>
      </c>
      <c r="Z6" s="75" t="e">
        <f t="shared" ca="1" si="16"/>
        <v>#N/A</v>
      </c>
      <c r="AA6" s="75" t="e">
        <f t="shared" ca="1" si="17"/>
        <v>#N/A</v>
      </c>
      <c r="AB6" s="75" t="e">
        <f t="shared" ca="1" si="18"/>
        <v>#N/A</v>
      </c>
      <c r="AC6" s="75" t="e">
        <f t="shared" ca="1" si="19"/>
        <v>#N/A</v>
      </c>
      <c r="AD6" s="64" t="s">
        <v>28</v>
      </c>
      <c r="AE6" s="59" t="e">
        <f t="shared" si="20"/>
        <v>#N/A</v>
      </c>
    </row>
    <row r="7" spans="1:31" x14ac:dyDescent="0.2">
      <c r="A7" s="53" t="str">
        <f t="shared" si="10"/>
        <v>:</v>
      </c>
      <c r="B7" s="10"/>
      <c r="C7" s="60" t="e">
        <f>VLOOKUP(B7,'Acceptance Tests'!$A$6:$D$32,COLUMN('Acceptance Tests'!$D$6)-COLUMN('Acceptance Tests'!$A$6)+1,FALSE)</f>
        <v>#N/A</v>
      </c>
      <c r="D7" s="58"/>
      <c r="E7" s="10"/>
      <c r="F7" s="50"/>
      <c r="G7" s="68" t="e">
        <f>VLOOKUP($B7,'Acceptance Tests'!A$6:N$32,COLUMN('Acceptance Tests'!N$6)-COLUMN('Acceptance Tests'!A$6)+1,FALSE)</f>
        <v>#N/A</v>
      </c>
      <c r="H7" s="70"/>
      <c r="I7" s="70"/>
      <c r="J7" s="70"/>
      <c r="K7" s="71">
        <f t="shared" si="0"/>
        <v>0</v>
      </c>
      <c r="L7" s="71">
        <f t="shared" si="1"/>
        <v>0</v>
      </c>
      <c r="M7" s="71">
        <f t="shared" si="2"/>
        <v>0</v>
      </c>
      <c r="N7" s="71">
        <f t="shared" si="11"/>
        <v>0</v>
      </c>
      <c r="O7" s="71">
        <f t="shared" si="12"/>
        <v>0</v>
      </c>
      <c r="P7" s="71">
        <f t="shared" si="3"/>
        <v>0</v>
      </c>
      <c r="Q7" s="70">
        <f t="shared" si="4"/>
        <v>0</v>
      </c>
      <c r="R7" s="70">
        <f t="shared" si="5"/>
        <v>0</v>
      </c>
      <c r="S7" s="70">
        <f t="shared" si="6"/>
        <v>0</v>
      </c>
      <c r="T7" s="70">
        <f t="shared" si="7"/>
        <v>0</v>
      </c>
      <c r="U7" s="70">
        <f t="shared" si="8"/>
        <v>0</v>
      </c>
      <c r="V7" s="74" t="e">
        <f t="shared" ca="1" si="13"/>
        <v>#N/A</v>
      </c>
      <c r="W7" s="74" t="e">
        <f t="shared" ca="1" si="14"/>
        <v>#N/A</v>
      </c>
      <c r="X7" s="75" t="e">
        <f t="shared" ca="1" si="15"/>
        <v>#N/A</v>
      </c>
      <c r="Y7" s="75" t="e">
        <f t="shared" ca="1" si="9"/>
        <v>#N/A</v>
      </c>
      <c r="Z7" s="75" t="e">
        <f t="shared" ca="1" si="16"/>
        <v>#N/A</v>
      </c>
      <c r="AA7" s="75" t="e">
        <f t="shared" ca="1" si="17"/>
        <v>#N/A</v>
      </c>
      <c r="AB7" s="75" t="e">
        <f t="shared" ca="1" si="18"/>
        <v>#N/A</v>
      </c>
      <c r="AC7" s="75" t="e">
        <f t="shared" ca="1" si="19"/>
        <v>#N/A</v>
      </c>
      <c r="AD7" s="64" t="s">
        <v>28</v>
      </c>
      <c r="AE7" s="59" t="e">
        <f t="shared" si="20"/>
        <v>#N/A</v>
      </c>
    </row>
    <row r="8" spans="1:31" x14ac:dyDescent="0.2">
      <c r="A8" s="53" t="str">
        <f t="shared" si="10"/>
        <v>:</v>
      </c>
      <c r="B8" s="10"/>
      <c r="C8" s="60" t="e">
        <f>VLOOKUP(B8,'Acceptance Tests'!$A$6:$D$32,COLUMN('Acceptance Tests'!$D$6)-COLUMN('Acceptance Tests'!$A$6)+1,FALSE)</f>
        <v>#N/A</v>
      </c>
      <c r="D8" s="58"/>
      <c r="E8" s="10"/>
      <c r="F8" s="50"/>
      <c r="G8" s="68" t="e">
        <f>VLOOKUP($B8,'Acceptance Tests'!A$6:N$32,COLUMN('Acceptance Tests'!N$6)-COLUMN('Acceptance Tests'!A$6)+1,FALSE)</f>
        <v>#N/A</v>
      </c>
      <c r="H8" s="70"/>
      <c r="I8" s="70"/>
      <c r="J8" s="70"/>
      <c r="K8" s="71">
        <f t="shared" si="0"/>
        <v>0</v>
      </c>
      <c r="L8" s="71">
        <f t="shared" si="1"/>
        <v>0</v>
      </c>
      <c r="M8" s="71">
        <f t="shared" si="2"/>
        <v>0</v>
      </c>
      <c r="N8" s="71">
        <f t="shared" si="11"/>
        <v>0</v>
      </c>
      <c r="O8" s="71">
        <f t="shared" si="12"/>
        <v>0</v>
      </c>
      <c r="P8" s="71">
        <f t="shared" si="3"/>
        <v>0</v>
      </c>
      <c r="Q8" s="70">
        <f t="shared" si="4"/>
        <v>0</v>
      </c>
      <c r="R8" s="70">
        <f t="shared" si="5"/>
        <v>0</v>
      </c>
      <c r="S8" s="70">
        <f t="shared" si="6"/>
        <v>0</v>
      </c>
      <c r="T8" s="70">
        <f t="shared" si="7"/>
        <v>0</v>
      </c>
      <c r="U8" s="70">
        <f t="shared" si="8"/>
        <v>0</v>
      </c>
      <c r="V8" s="74" t="e">
        <f t="shared" ca="1" si="13"/>
        <v>#N/A</v>
      </c>
      <c r="W8" s="74" t="e">
        <f t="shared" ca="1" si="14"/>
        <v>#N/A</v>
      </c>
      <c r="X8" s="75" t="e">
        <f t="shared" ca="1" si="15"/>
        <v>#N/A</v>
      </c>
      <c r="Y8" s="75" t="e">
        <f t="shared" ca="1" si="9"/>
        <v>#N/A</v>
      </c>
      <c r="Z8" s="75" t="e">
        <f t="shared" ca="1" si="16"/>
        <v>#N/A</v>
      </c>
      <c r="AA8" s="75" t="e">
        <f t="shared" ca="1" si="17"/>
        <v>#N/A</v>
      </c>
      <c r="AB8" s="75" t="e">
        <f t="shared" ca="1" si="18"/>
        <v>#N/A</v>
      </c>
      <c r="AC8" s="75" t="e">
        <f t="shared" ca="1" si="19"/>
        <v>#N/A</v>
      </c>
      <c r="AD8" s="64" t="s">
        <v>28</v>
      </c>
      <c r="AE8" s="59" t="e">
        <f t="shared" si="20"/>
        <v>#N/A</v>
      </c>
    </row>
    <row r="9" spans="1:31" x14ac:dyDescent="0.2">
      <c r="A9" s="53" t="str">
        <f t="shared" si="10"/>
        <v>:</v>
      </c>
      <c r="B9" s="10"/>
      <c r="C9" s="60" t="e">
        <f>VLOOKUP(B9,'Acceptance Tests'!$A$6:$D$32,COLUMN('Acceptance Tests'!$D$6)-COLUMN('Acceptance Tests'!$A$6)+1,FALSE)</f>
        <v>#N/A</v>
      </c>
      <c r="D9" s="58"/>
      <c r="E9" s="10"/>
      <c r="F9" s="50"/>
      <c r="G9" s="68" t="e">
        <f>VLOOKUP($B9,'Acceptance Tests'!A$6:N$32,COLUMN('Acceptance Tests'!N$6)-COLUMN('Acceptance Tests'!A$6)+1,FALSE)</f>
        <v>#N/A</v>
      </c>
      <c r="H9" s="70"/>
      <c r="I9" s="70"/>
      <c r="J9" s="70"/>
      <c r="K9" s="71">
        <f t="shared" si="0"/>
        <v>0</v>
      </c>
      <c r="L9" s="71">
        <f t="shared" si="1"/>
        <v>0</v>
      </c>
      <c r="M9" s="71">
        <f>L9*L9</f>
        <v>0</v>
      </c>
      <c r="N9" s="71">
        <f>ROUND(K9-(ROUND(SQRT(M9),0)),0)</f>
        <v>0</v>
      </c>
      <c r="O9" s="71">
        <f>ROUND(K9+(ROUND(SQRT(M9),0)),0)</f>
        <v>0</v>
      </c>
      <c r="P9" s="71">
        <f t="shared" si="3"/>
        <v>0</v>
      </c>
      <c r="Q9" s="70">
        <f t="shared" si="4"/>
        <v>0</v>
      </c>
      <c r="R9" s="70">
        <f t="shared" si="5"/>
        <v>0</v>
      </c>
      <c r="S9" s="70">
        <f t="shared" si="6"/>
        <v>0</v>
      </c>
      <c r="T9" s="70">
        <f t="shared" si="7"/>
        <v>0</v>
      </c>
      <c r="U9" s="70">
        <f t="shared" si="8"/>
        <v>0</v>
      </c>
      <c r="V9" s="74" t="e">
        <f t="shared" ca="1" si="13"/>
        <v>#N/A</v>
      </c>
      <c r="W9" s="74" t="e">
        <f t="shared" ca="1" si="14"/>
        <v>#N/A</v>
      </c>
      <c r="X9" s="76" t="e">
        <f t="shared" ca="1" si="15"/>
        <v>#N/A</v>
      </c>
      <c r="Y9" s="76" t="e">
        <f t="shared" ca="1" si="9"/>
        <v>#N/A</v>
      </c>
      <c r="Z9" s="75" t="e">
        <f t="shared" ca="1" si="16"/>
        <v>#N/A</v>
      </c>
      <c r="AA9" s="75" t="e">
        <f t="shared" ca="1" si="17"/>
        <v>#N/A</v>
      </c>
      <c r="AB9" s="75" t="e">
        <f t="shared" ca="1" si="18"/>
        <v>#N/A</v>
      </c>
      <c r="AC9" s="75" t="e">
        <f t="shared" ca="1" si="19"/>
        <v>#N/A</v>
      </c>
      <c r="AD9" s="65" t="s">
        <v>28</v>
      </c>
      <c r="AE9" s="59" t="e">
        <f t="shared" si="20"/>
        <v>#N/A</v>
      </c>
    </row>
    <row r="10" spans="1:31" x14ac:dyDescent="0.2">
      <c r="A10" s="53" t="str">
        <f t="shared" si="10"/>
        <v>:</v>
      </c>
      <c r="B10" s="10"/>
      <c r="C10" s="60" t="e">
        <f>VLOOKUP(B10,'Acceptance Tests'!$A$6:$D$32,COLUMN('Acceptance Tests'!$D$6)-COLUMN('Acceptance Tests'!$A$6)+1,FALSE)</f>
        <v>#N/A</v>
      </c>
      <c r="D10" s="58"/>
      <c r="E10" s="10"/>
      <c r="F10" s="50"/>
      <c r="G10" s="68" t="e">
        <f>VLOOKUP($B10,'Acceptance Tests'!A$6:N$32,COLUMN('Acceptance Tests'!N$6)-COLUMN('Acceptance Tests'!A$6)+1,FALSE)</f>
        <v>#N/A</v>
      </c>
      <c r="H10" s="70"/>
      <c r="I10" s="70"/>
      <c r="J10" s="70"/>
      <c r="K10" s="71">
        <f t="shared" si="0"/>
        <v>0</v>
      </c>
      <c r="L10" s="71">
        <f t="shared" si="1"/>
        <v>0</v>
      </c>
      <c r="M10" s="71">
        <f>L10*L10</f>
        <v>0</v>
      </c>
      <c r="N10" s="71">
        <f>ROUND(K10-(ROUND(SQRT(M10),0)),0)</f>
        <v>0</v>
      </c>
      <c r="O10" s="71">
        <f>ROUND(K10+(ROUND(SQRT(M10),0)),0)</f>
        <v>0</v>
      </c>
      <c r="P10" s="71">
        <f t="shared" si="3"/>
        <v>0</v>
      </c>
      <c r="Q10" s="70">
        <f t="shared" si="4"/>
        <v>0</v>
      </c>
      <c r="R10" s="70">
        <f t="shared" si="5"/>
        <v>0</v>
      </c>
      <c r="S10" s="70">
        <f t="shared" si="6"/>
        <v>0</v>
      </c>
      <c r="T10" s="70">
        <f t="shared" si="7"/>
        <v>0</v>
      </c>
      <c r="U10" s="70">
        <f t="shared" si="8"/>
        <v>0</v>
      </c>
      <c r="V10" s="74" t="e">
        <f t="shared" ca="1" si="13"/>
        <v>#N/A</v>
      </c>
      <c r="W10" s="74" t="e">
        <f t="shared" ca="1" si="14"/>
        <v>#N/A</v>
      </c>
      <c r="X10" s="77" t="e">
        <f t="shared" ca="1" si="15"/>
        <v>#N/A</v>
      </c>
      <c r="Y10" s="77" t="e">
        <f t="shared" ca="1" si="9"/>
        <v>#N/A</v>
      </c>
      <c r="Z10" s="75" t="e">
        <f t="shared" ca="1" si="16"/>
        <v>#N/A</v>
      </c>
      <c r="AA10" s="75" t="e">
        <f t="shared" ca="1" si="17"/>
        <v>#N/A</v>
      </c>
      <c r="AB10" s="75" t="e">
        <f t="shared" ca="1" si="18"/>
        <v>#N/A</v>
      </c>
      <c r="AC10" s="75" t="e">
        <f t="shared" ca="1" si="19"/>
        <v>#N/A</v>
      </c>
      <c r="AD10" s="64" t="s">
        <v>28</v>
      </c>
      <c r="AE10" s="59" t="e">
        <f t="shared" si="20"/>
        <v>#N/A</v>
      </c>
    </row>
    <row r="11" spans="1:31" x14ac:dyDescent="0.2">
      <c r="A11" s="53" t="str">
        <f t="shared" si="10"/>
        <v>:</v>
      </c>
      <c r="B11" s="10"/>
      <c r="C11" s="60" t="e">
        <f>VLOOKUP(B11,'Acceptance Tests'!$A$6:$D$32,COLUMN('Acceptance Tests'!$D$6)-COLUMN('Acceptance Tests'!$A$6)+1,FALSE)</f>
        <v>#N/A</v>
      </c>
      <c r="D11" s="58"/>
      <c r="E11" s="10"/>
      <c r="F11" s="50"/>
      <c r="G11" s="68" t="e">
        <f>VLOOKUP($B11,'Acceptance Tests'!A$6:N$32,COLUMN('Acceptance Tests'!N$6)-COLUMN('Acceptance Tests'!A$6)+1,FALSE)</f>
        <v>#N/A</v>
      </c>
      <c r="H11" s="70"/>
      <c r="I11" s="70"/>
      <c r="J11" s="70"/>
      <c r="K11" s="71">
        <f t="shared" si="0"/>
        <v>0</v>
      </c>
      <c r="L11" s="71">
        <f t="shared" si="1"/>
        <v>0</v>
      </c>
      <c r="M11" s="71">
        <f t="shared" si="2"/>
        <v>0</v>
      </c>
      <c r="N11" s="71">
        <f t="shared" si="11"/>
        <v>0</v>
      </c>
      <c r="O11" s="71">
        <f t="shared" si="12"/>
        <v>0</v>
      </c>
      <c r="P11" s="71">
        <f t="shared" si="3"/>
        <v>0</v>
      </c>
      <c r="Q11" s="70">
        <f t="shared" si="4"/>
        <v>0</v>
      </c>
      <c r="R11" s="70">
        <f t="shared" si="5"/>
        <v>0</v>
      </c>
      <c r="S11" s="70">
        <f t="shared" si="6"/>
        <v>0</v>
      </c>
      <c r="T11" s="70">
        <f t="shared" si="7"/>
        <v>0</v>
      </c>
      <c r="U11" s="70">
        <f t="shared" si="8"/>
        <v>0</v>
      </c>
      <c r="V11" s="74" t="e">
        <f t="shared" ca="1" si="13"/>
        <v>#N/A</v>
      </c>
      <c r="W11" s="74" t="e">
        <f t="shared" ca="1" si="14"/>
        <v>#N/A</v>
      </c>
      <c r="X11" s="77" t="e">
        <f t="shared" ca="1" si="15"/>
        <v>#N/A</v>
      </c>
      <c r="Y11" s="77" t="e">
        <f t="shared" ca="1" si="9"/>
        <v>#N/A</v>
      </c>
      <c r="Z11" s="75" t="e">
        <f t="shared" ca="1" si="16"/>
        <v>#N/A</v>
      </c>
      <c r="AA11" s="75" t="e">
        <f t="shared" ca="1" si="17"/>
        <v>#N/A</v>
      </c>
      <c r="AB11" s="75" t="e">
        <f t="shared" ca="1" si="18"/>
        <v>#N/A</v>
      </c>
      <c r="AC11" s="75" t="e">
        <f t="shared" ca="1" si="19"/>
        <v>#N/A</v>
      </c>
      <c r="AD11" s="64" t="s">
        <v>28</v>
      </c>
      <c r="AE11" s="59" t="e">
        <f t="shared" si="20"/>
        <v>#N/A</v>
      </c>
    </row>
    <row r="12" spans="1:31" x14ac:dyDescent="0.2">
      <c r="A12" s="53" t="str">
        <f t="shared" si="10"/>
        <v>:</v>
      </c>
      <c r="B12" s="10"/>
      <c r="C12" s="60" t="e">
        <f>VLOOKUP(B12,'Acceptance Tests'!$A$6:$D$32,COLUMN('Acceptance Tests'!$D$6)-COLUMN('Acceptance Tests'!$A$6)+1,FALSE)</f>
        <v>#N/A</v>
      </c>
      <c r="D12" s="58"/>
      <c r="E12" s="10"/>
      <c r="F12" s="50"/>
      <c r="G12" s="68" t="e">
        <f>VLOOKUP($B12,'Acceptance Tests'!A$6:N$32,COLUMN('Acceptance Tests'!N$6)-COLUMN('Acceptance Tests'!A$6)+1,FALSE)</f>
        <v>#N/A</v>
      </c>
      <c r="H12" s="70"/>
      <c r="I12" s="70"/>
      <c r="J12" s="70"/>
      <c r="K12" s="71">
        <f t="shared" si="0"/>
        <v>0</v>
      </c>
      <c r="L12" s="71">
        <f t="shared" si="1"/>
        <v>0</v>
      </c>
      <c r="M12" s="71">
        <f t="shared" si="2"/>
        <v>0</v>
      </c>
      <c r="N12" s="71">
        <f t="shared" si="11"/>
        <v>0</v>
      </c>
      <c r="O12" s="71">
        <f t="shared" si="12"/>
        <v>0</v>
      </c>
      <c r="P12" s="71">
        <f t="shared" si="3"/>
        <v>0</v>
      </c>
      <c r="Q12" s="70">
        <f t="shared" si="4"/>
        <v>0</v>
      </c>
      <c r="R12" s="70">
        <f t="shared" si="5"/>
        <v>0</v>
      </c>
      <c r="S12" s="70">
        <f t="shared" si="6"/>
        <v>0</v>
      </c>
      <c r="T12" s="70">
        <f t="shared" si="7"/>
        <v>0</v>
      </c>
      <c r="U12" s="70">
        <f t="shared" si="8"/>
        <v>0</v>
      </c>
      <c r="V12" s="74" t="e">
        <f t="shared" ca="1" si="13"/>
        <v>#N/A</v>
      </c>
      <c r="W12" s="74" t="e">
        <f t="shared" ca="1" si="14"/>
        <v>#N/A</v>
      </c>
      <c r="X12" s="77" t="e">
        <f t="shared" ca="1" si="15"/>
        <v>#N/A</v>
      </c>
      <c r="Y12" s="77" t="e">
        <f t="shared" ca="1" si="9"/>
        <v>#N/A</v>
      </c>
      <c r="Z12" s="75" t="e">
        <f t="shared" ca="1" si="16"/>
        <v>#N/A</v>
      </c>
      <c r="AA12" s="75" t="e">
        <f t="shared" ca="1" si="17"/>
        <v>#N/A</v>
      </c>
      <c r="AB12" s="75" t="e">
        <f t="shared" ca="1" si="18"/>
        <v>#N/A</v>
      </c>
      <c r="AC12" s="75" t="e">
        <f t="shared" ca="1" si="19"/>
        <v>#N/A</v>
      </c>
      <c r="AD12" s="64" t="s">
        <v>28</v>
      </c>
      <c r="AE12" s="59" t="e">
        <f t="shared" si="20"/>
        <v>#N/A</v>
      </c>
    </row>
    <row r="13" spans="1:31" x14ac:dyDescent="0.2">
      <c r="A13" s="53" t="str">
        <f t="shared" si="10"/>
        <v>:</v>
      </c>
      <c r="B13" s="10"/>
      <c r="C13" s="60" t="e">
        <f>VLOOKUP(B13,'Acceptance Tests'!$A$6:$D$32,COLUMN('Acceptance Tests'!$D$6)-COLUMN('Acceptance Tests'!$A$6)+1,FALSE)</f>
        <v>#N/A</v>
      </c>
      <c r="D13" s="58"/>
      <c r="E13" s="10"/>
      <c r="F13" s="50"/>
      <c r="G13" s="68" t="e">
        <f>VLOOKUP($B13,'Acceptance Tests'!A$6:N$32,COLUMN('Acceptance Tests'!N$6)-COLUMN('Acceptance Tests'!A$6)+1,FALSE)</f>
        <v>#N/A</v>
      </c>
      <c r="H13" s="70"/>
      <c r="I13" s="70"/>
      <c r="J13" s="70"/>
      <c r="K13" s="71">
        <f t="shared" si="0"/>
        <v>0</v>
      </c>
      <c r="L13" s="71">
        <f t="shared" si="1"/>
        <v>0</v>
      </c>
      <c r="M13" s="71">
        <f t="shared" si="2"/>
        <v>0</v>
      </c>
      <c r="N13" s="71">
        <f t="shared" si="11"/>
        <v>0</v>
      </c>
      <c r="O13" s="71">
        <f t="shared" si="12"/>
        <v>0</v>
      </c>
      <c r="P13" s="71">
        <f t="shared" si="3"/>
        <v>0</v>
      </c>
      <c r="Q13" s="70">
        <f t="shared" si="4"/>
        <v>0</v>
      </c>
      <c r="R13" s="70">
        <f t="shared" si="5"/>
        <v>0</v>
      </c>
      <c r="S13" s="70">
        <f t="shared" si="6"/>
        <v>0</v>
      </c>
      <c r="T13" s="70">
        <f t="shared" si="7"/>
        <v>0</v>
      </c>
      <c r="U13" s="70">
        <f t="shared" si="8"/>
        <v>0</v>
      </c>
      <c r="V13" s="74" t="e">
        <f t="shared" ca="1" si="13"/>
        <v>#N/A</v>
      </c>
      <c r="W13" s="74" t="e">
        <f t="shared" ca="1" si="14"/>
        <v>#N/A</v>
      </c>
      <c r="X13" s="77" t="e">
        <f t="shared" ca="1" si="15"/>
        <v>#N/A</v>
      </c>
      <c r="Y13" s="77" t="e">
        <f t="shared" ca="1" si="9"/>
        <v>#N/A</v>
      </c>
      <c r="Z13" s="75" t="e">
        <f t="shared" ca="1" si="16"/>
        <v>#N/A</v>
      </c>
      <c r="AA13" s="75" t="e">
        <f t="shared" ca="1" si="17"/>
        <v>#N/A</v>
      </c>
      <c r="AB13" s="75" t="e">
        <f t="shared" ca="1" si="18"/>
        <v>#N/A</v>
      </c>
      <c r="AC13" s="75" t="e">
        <f t="shared" ca="1" si="19"/>
        <v>#N/A</v>
      </c>
      <c r="AD13" s="64" t="s">
        <v>28</v>
      </c>
      <c r="AE13" s="59" t="e">
        <f t="shared" si="20"/>
        <v>#N/A</v>
      </c>
    </row>
    <row r="14" spans="1:31" x14ac:dyDescent="0.2">
      <c r="A14" s="53" t="str">
        <f t="shared" si="10"/>
        <v>:</v>
      </c>
      <c r="B14" s="10"/>
      <c r="C14" s="60" t="e">
        <f>VLOOKUP(B14,'Acceptance Tests'!$A$6:$D$32,COLUMN('Acceptance Tests'!$D$6)-COLUMN('Acceptance Tests'!$A$6)+1,FALSE)</f>
        <v>#N/A</v>
      </c>
      <c r="D14" s="58"/>
      <c r="E14" s="10"/>
      <c r="F14" s="50"/>
      <c r="G14" s="68" t="e">
        <f>VLOOKUP($B14,'Acceptance Tests'!A$6:N$32,COLUMN('Acceptance Tests'!N$6)-COLUMN('Acceptance Tests'!A$6)+1,FALSE)</f>
        <v>#N/A</v>
      </c>
      <c r="H14" s="70"/>
      <c r="I14" s="70"/>
      <c r="J14" s="70"/>
      <c r="K14" s="71">
        <f t="shared" si="0"/>
        <v>0</v>
      </c>
      <c r="L14" s="71">
        <f t="shared" si="1"/>
        <v>0</v>
      </c>
      <c r="M14" s="71">
        <f t="shared" si="2"/>
        <v>0</v>
      </c>
      <c r="N14" s="71">
        <f t="shared" si="11"/>
        <v>0</v>
      </c>
      <c r="O14" s="71">
        <f t="shared" si="12"/>
        <v>0</v>
      </c>
      <c r="P14" s="71">
        <f t="shared" si="3"/>
        <v>0</v>
      </c>
      <c r="Q14" s="70">
        <f t="shared" si="4"/>
        <v>0</v>
      </c>
      <c r="R14" s="70">
        <f t="shared" si="5"/>
        <v>0</v>
      </c>
      <c r="S14" s="70">
        <f t="shared" si="6"/>
        <v>0</v>
      </c>
      <c r="T14" s="70">
        <f t="shared" si="7"/>
        <v>0</v>
      </c>
      <c r="U14" s="70">
        <f t="shared" si="8"/>
        <v>0</v>
      </c>
      <c r="V14" s="74" t="e">
        <f t="shared" ca="1" si="13"/>
        <v>#N/A</v>
      </c>
      <c r="W14" s="74" t="e">
        <f t="shared" ca="1" si="14"/>
        <v>#N/A</v>
      </c>
      <c r="X14" s="77" t="e">
        <f t="shared" ca="1" si="15"/>
        <v>#N/A</v>
      </c>
      <c r="Y14" s="77" t="e">
        <f t="shared" ca="1" si="9"/>
        <v>#N/A</v>
      </c>
      <c r="Z14" s="75" t="e">
        <f t="shared" ca="1" si="16"/>
        <v>#N/A</v>
      </c>
      <c r="AA14" s="75" t="e">
        <f t="shared" ca="1" si="17"/>
        <v>#N/A</v>
      </c>
      <c r="AB14" s="75" t="e">
        <f t="shared" ca="1" si="18"/>
        <v>#N/A</v>
      </c>
      <c r="AC14" s="75" t="e">
        <f t="shared" ca="1" si="19"/>
        <v>#N/A</v>
      </c>
      <c r="AD14" s="64" t="s">
        <v>28</v>
      </c>
      <c r="AE14" s="59" t="e">
        <f t="shared" si="20"/>
        <v>#N/A</v>
      </c>
    </row>
    <row r="15" spans="1:31" x14ac:dyDescent="0.2">
      <c r="A15" s="53" t="str">
        <f t="shared" si="10"/>
        <v>:</v>
      </c>
      <c r="B15" s="10"/>
      <c r="C15" s="60" t="e">
        <f>VLOOKUP(B15,'Acceptance Tests'!$A$6:$D$32,COLUMN('Acceptance Tests'!$D$6)-COLUMN('Acceptance Tests'!$A$6)+1,FALSE)</f>
        <v>#N/A</v>
      </c>
      <c r="D15" s="58"/>
      <c r="E15" s="10"/>
      <c r="F15" s="50"/>
      <c r="G15" s="68" t="e">
        <f>VLOOKUP($B15,'Acceptance Tests'!A$6:N$32,COLUMN('Acceptance Tests'!N$6)-COLUMN('Acceptance Tests'!A$6)+1,FALSE)</f>
        <v>#N/A</v>
      </c>
      <c r="H15" s="70"/>
      <c r="I15" s="70"/>
      <c r="J15" s="70"/>
      <c r="K15" s="71">
        <f t="shared" si="0"/>
        <v>0</v>
      </c>
      <c r="L15" s="71">
        <f t="shared" si="1"/>
        <v>0</v>
      </c>
      <c r="M15" s="71">
        <f t="shared" si="2"/>
        <v>0</v>
      </c>
      <c r="N15" s="71">
        <f t="shared" si="11"/>
        <v>0</v>
      </c>
      <c r="O15" s="71">
        <f t="shared" si="12"/>
        <v>0</v>
      </c>
      <c r="P15" s="71">
        <f t="shared" si="3"/>
        <v>0</v>
      </c>
      <c r="Q15" s="70">
        <f t="shared" si="4"/>
        <v>0</v>
      </c>
      <c r="R15" s="70">
        <f t="shared" si="5"/>
        <v>0</v>
      </c>
      <c r="S15" s="70">
        <f t="shared" si="6"/>
        <v>0</v>
      </c>
      <c r="T15" s="70">
        <f t="shared" si="7"/>
        <v>0</v>
      </c>
      <c r="U15" s="70">
        <f t="shared" si="8"/>
        <v>0</v>
      </c>
      <c r="V15" s="74" t="e">
        <f t="shared" ca="1" si="13"/>
        <v>#N/A</v>
      </c>
      <c r="W15" s="74" t="e">
        <f t="shared" ca="1" si="14"/>
        <v>#N/A</v>
      </c>
      <c r="X15" s="77" t="e">
        <f t="shared" ca="1" si="15"/>
        <v>#N/A</v>
      </c>
      <c r="Y15" s="77" t="e">
        <f t="shared" ca="1" si="9"/>
        <v>#N/A</v>
      </c>
      <c r="Z15" s="75" t="e">
        <f t="shared" ca="1" si="16"/>
        <v>#N/A</v>
      </c>
      <c r="AA15" s="75" t="e">
        <f t="shared" ca="1" si="17"/>
        <v>#N/A</v>
      </c>
      <c r="AB15" s="75" t="e">
        <f t="shared" ca="1" si="18"/>
        <v>#N/A</v>
      </c>
      <c r="AC15" s="75" t="e">
        <f t="shared" ca="1" si="19"/>
        <v>#N/A</v>
      </c>
      <c r="AD15" s="64" t="s">
        <v>28</v>
      </c>
      <c r="AE15" s="59" t="e">
        <f t="shared" si="20"/>
        <v>#N/A</v>
      </c>
    </row>
    <row r="16" spans="1:31" x14ac:dyDescent="0.2">
      <c r="A16" s="53" t="str">
        <f t="shared" si="10"/>
        <v>:</v>
      </c>
      <c r="B16" s="10"/>
      <c r="C16" s="60" t="e">
        <f>VLOOKUP(B16,'Acceptance Tests'!$A$6:$D$32,COLUMN('Acceptance Tests'!$D$6)-COLUMN('Acceptance Tests'!$A$6)+1,FALSE)</f>
        <v>#N/A</v>
      </c>
      <c r="D16" s="58"/>
      <c r="E16" s="10"/>
      <c r="F16" s="50"/>
      <c r="G16" s="68" t="e">
        <f>VLOOKUP($B16,'Acceptance Tests'!A$6:N$32,COLUMN('Acceptance Tests'!N$6)-COLUMN('Acceptance Tests'!A$6)+1,FALSE)</f>
        <v>#N/A</v>
      </c>
      <c r="H16" s="70"/>
      <c r="I16" s="70"/>
      <c r="J16" s="70"/>
      <c r="K16" s="71">
        <f t="shared" si="0"/>
        <v>0</v>
      </c>
      <c r="L16" s="71">
        <f t="shared" si="1"/>
        <v>0</v>
      </c>
      <c r="M16" s="71">
        <f t="shared" si="2"/>
        <v>0</v>
      </c>
      <c r="N16" s="71">
        <f t="shared" si="11"/>
        <v>0</v>
      </c>
      <c r="O16" s="71">
        <f t="shared" si="12"/>
        <v>0</v>
      </c>
      <c r="P16" s="71">
        <f t="shared" si="3"/>
        <v>0</v>
      </c>
      <c r="Q16" s="70">
        <f t="shared" si="4"/>
        <v>0</v>
      </c>
      <c r="R16" s="70">
        <f t="shared" si="5"/>
        <v>0</v>
      </c>
      <c r="S16" s="70">
        <f t="shared" si="6"/>
        <v>0</v>
      </c>
      <c r="T16" s="70">
        <f t="shared" si="7"/>
        <v>0</v>
      </c>
      <c r="U16" s="70">
        <f t="shared" si="8"/>
        <v>0</v>
      </c>
      <c r="V16" s="74" t="e">
        <f t="shared" ca="1" si="13"/>
        <v>#N/A</v>
      </c>
      <c r="W16" s="74" t="e">
        <f t="shared" ca="1" si="14"/>
        <v>#N/A</v>
      </c>
      <c r="X16" s="77" t="e">
        <f t="shared" ca="1" si="15"/>
        <v>#N/A</v>
      </c>
      <c r="Y16" s="77" t="e">
        <f t="shared" ca="1" si="9"/>
        <v>#N/A</v>
      </c>
      <c r="Z16" s="75" t="e">
        <f t="shared" ca="1" si="16"/>
        <v>#N/A</v>
      </c>
      <c r="AA16" s="75" t="e">
        <f t="shared" ca="1" si="17"/>
        <v>#N/A</v>
      </c>
      <c r="AB16" s="75" t="e">
        <f t="shared" ca="1" si="18"/>
        <v>#N/A</v>
      </c>
      <c r="AC16" s="75" t="e">
        <f t="shared" ca="1" si="19"/>
        <v>#N/A</v>
      </c>
      <c r="AD16" s="64" t="s">
        <v>28</v>
      </c>
      <c r="AE16" s="59" t="e">
        <f t="shared" si="20"/>
        <v>#N/A</v>
      </c>
    </row>
    <row r="17" spans="1:31" x14ac:dyDescent="0.2">
      <c r="A17" s="53" t="str">
        <f t="shared" si="10"/>
        <v>:</v>
      </c>
      <c r="B17" s="10"/>
      <c r="C17" s="60" t="e">
        <f>VLOOKUP(B17,'Acceptance Tests'!$A$6:$D$32,COLUMN('Acceptance Tests'!$D$6)-COLUMN('Acceptance Tests'!$A$6)+1,FALSE)</f>
        <v>#N/A</v>
      </c>
      <c r="D17" s="58"/>
      <c r="E17" s="10"/>
      <c r="F17" s="50"/>
      <c r="G17" s="68" t="e">
        <f>VLOOKUP($B17,'Acceptance Tests'!A$6:N$32,COLUMN('Acceptance Tests'!N$6)-COLUMN('Acceptance Tests'!A$6)+1,FALSE)</f>
        <v>#N/A</v>
      </c>
      <c r="H17" s="70"/>
      <c r="I17" s="70"/>
      <c r="J17" s="70"/>
      <c r="K17" s="71">
        <f t="shared" si="0"/>
        <v>0</v>
      </c>
      <c r="L17" s="71">
        <f t="shared" si="1"/>
        <v>0</v>
      </c>
      <c r="M17" s="71">
        <f t="shared" si="2"/>
        <v>0</v>
      </c>
      <c r="N17" s="71">
        <f t="shared" si="11"/>
        <v>0</v>
      </c>
      <c r="O17" s="71">
        <f t="shared" si="12"/>
        <v>0</v>
      </c>
      <c r="P17" s="71">
        <f t="shared" si="3"/>
        <v>0</v>
      </c>
      <c r="Q17" s="70">
        <f t="shared" si="4"/>
        <v>0</v>
      </c>
      <c r="R17" s="70">
        <f t="shared" si="5"/>
        <v>0</v>
      </c>
      <c r="S17" s="70">
        <f t="shared" si="6"/>
        <v>0</v>
      </c>
      <c r="T17" s="70">
        <f t="shared" si="7"/>
        <v>0</v>
      </c>
      <c r="U17" s="70">
        <f t="shared" si="8"/>
        <v>0</v>
      </c>
      <c r="V17" s="74" t="e">
        <f t="shared" ca="1" si="13"/>
        <v>#N/A</v>
      </c>
      <c r="W17" s="74" t="e">
        <f t="shared" ca="1" si="14"/>
        <v>#N/A</v>
      </c>
      <c r="X17" s="77" t="e">
        <f t="shared" ca="1" si="15"/>
        <v>#N/A</v>
      </c>
      <c r="Y17" s="77" t="e">
        <f t="shared" ca="1" si="9"/>
        <v>#N/A</v>
      </c>
      <c r="Z17" s="75" t="e">
        <f t="shared" ca="1" si="16"/>
        <v>#N/A</v>
      </c>
      <c r="AA17" s="75" t="e">
        <f t="shared" ca="1" si="17"/>
        <v>#N/A</v>
      </c>
      <c r="AB17" s="75" t="e">
        <f t="shared" ca="1" si="18"/>
        <v>#N/A</v>
      </c>
      <c r="AC17" s="75" t="e">
        <f t="shared" ca="1" si="19"/>
        <v>#N/A</v>
      </c>
      <c r="AD17" s="64" t="s">
        <v>28</v>
      </c>
      <c r="AE17" s="59" t="e">
        <f t="shared" si="20"/>
        <v>#N/A</v>
      </c>
    </row>
    <row r="18" spans="1:31" x14ac:dyDescent="0.2">
      <c r="A18" s="53" t="str">
        <f t="shared" si="10"/>
        <v>:</v>
      </c>
      <c r="B18" s="10"/>
      <c r="C18" s="60" t="e">
        <f>VLOOKUP(B18,'Acceptance Tests'!$A$6:$D$32,COLUMN('Acceptance Tests'!$D$6)-COLUMN('Acceptance Tests'!$A$6)+1,FALSE)</f>
        <v>#N/A</v>
      </c>
      <c r="D18" s="58"/>
      <c r="E18" s="10"/>
      <c r="F18" s="50"/>
      <c r="G18" s="68" t="e">
        <f>VLOOKUP($B18,'Acceptance Tests'!A$6:N$32,COLUMN('Acceptance Tests'!N$6)-COLUMN('Acceptance Tests'!A$6)+1,FALSE)</f>
        <v>#N/A</v>
      </c>
      <c r="H18" s="70"/>
      <c r="I18" s="70"/>
      <c r="J18" s="70"/>
      <c r="K18" s="71">
        <f t="shared" si="0"/>
        <v>0</v>
      </c>
      <c r="L18" s="71">
        <f t="shared" si="1"/>
        <v>0</v>
      </c>
      <c r="M18" s="71">
        <f t="shared" si="2"/>
        <v>0</v>
      </c>
      <c r="N18" s="71">
        <f t="shared" si="11"/>
        <v>0</v>
      </c>
      <c r="O18" s="71">
        <f t="shared" si="12"/>
        <v>0</v>
      </c>
      <c r="P18" s="71">
        <f t="shared" si="3"/>
        <v>0</v>
      </c>
      <c r="Q18" s="70">
        <f t="shared" si="4"/>
        <v>0</v>
      </c>
      <c r="R18" s="70">
        <f t="shared" si="5"/>
        <v>0</v>
      </c>
      <c r="S18" s="70">
        <f t="shared" si="6"/>
        <v>0</v>
      </c>
      <c r="T18" s="70">
        <f t="shared" si="7"/>
        <v>0</v>
      </c>
      <c r="U18" s="70">
        <f t="shared" si="8"/>
        <v>0</v>
      </c>
      <c r="V18" s="74" t="e">
        <f t="shared" ca="1" si="13"/>
        <v>#N/A</v>
      </c>
      <c r="W18" s="74" t="e">
        <f t="shared" ca="1" si="14"/>
        <v>#N/A</v>
      </c>
      <c r="X18" s="77" t="e">
        <f t="shared" ca="1" si="15"/>
        <v>#N/A</v>
      </c>
      <c r="Y18" s="77" t="e">
        <f t="shared" ca="1" si="9"/>
        <v>#N/A</v>
      </c>
      <c r="Z18" s="75" t="e">
        <f t="shared" ca="1" si="16"/>
        <v>#N/A</v>
      </c>
      <c r="AA18" s="75" t="e">
        <f t="shared" ca="1" si="17"/>
        <v>#N/A</v>
      </c>
      <c r="AB18" s="75" t="e">
        <f t="shared" ca="1" si="18"/>
        <v>#N/A</v>
      </c>
      <c r="AC18" s="75" t="e">
        <f t="shared" ca="1" si="19"/>
        <v>#N/A</v>
      </c>
      <c r="AD18" s="64" t="s">
        <v>28</v>
      </c>
      <c r="AE18" s="59" t="e">
        <f t="shared" si="20"/>
        <v>#N/A</v>
      </c>
    </row>
    <row r="19" spans="1:31" x14ac:dyDescent="0.2">
      <c r="A19" s="53" t="str">
        <f t="shared" si="10"/>
        <v>:</v>
      </c>
      <c r="B19" s="10"/>
      <c r="C19" s="60" t="e">
        <f>VLOOKUP(B19,'Acceptance Tests'!$A$6:$D$32,COLUMN('Acceptance Tests'!$D$6)-COLUMN('Acceptance Tests'!$A$6)+1,FALSE)</f>
        <v>#N/A</v>
      </c>
      <c r="D19" s="58"/>
      <c r="E19" s="10"/>
      <c r="F19" s="50"/>
      <c r="G19" s="68" t="e">
        <f>VLOOKUP($B19,'Acceptance Tests'!A$6:N$32,COLUMN('Acceptance Tests'!N$6)-COLUMN('Acceptance Tests'!A$6)+1,FALSE)</f>
        <v>#N/A</v>
      </c>
      <c r="H19" s="70"/>
      <c r="I19" s="70"/>
      <c r="J19" s="70"/>
      <c r="K19" s="71">
        <f t="shared" si="0"/>
        <v>0</v>
      </c>
      <c r="L19" s="71">
        <f t="shared" si="1"/>
        <v>0</v>
      </c>
      <c r="M19" s="71">
        <f t="shared" si="2"/>
        <v>0</v>
      </c>
      <c r="N19" s="71">
        <f t="shared" si="11"/>
        <v>0</v>
      </c>
      <c r="O19" s="71">
        <f t="shared" si="12"/>
        <v>0</v>
      </c>
      <c r="P19" s="71">
        <f t="shared" si="3"/>
        <v>0</v>
      </c>
      <c r="Q19" s="70">
        <f t="shared" si="4"/>
        <v>0</v>
      </c>
      <c r="R19" s="70">
        <f t="shared" si="5"/>
        <v>0</v>
      </c>
      <c r="S19" s="70">
        <f t="shared" si="6"/>
        <v>0</v>
      </c>
      <c r="T19" s="70">
        <f t="shared" si="7"/>
        <v>0</v>
      </c>
      <c r="U19" s="70">
        <f t="shared" si="8"/>
        <v>0</v>
      </c>
      <c r="V19" s="74" t="e">
        <f t="shared" ca="1" si="13"/>
        <v>#N/A</v>
      </c>
      <c r="W19" s="74" t="e">
        <f t="shared" ca="1" si="14"/>
        <v>#N/A</v>
      </c>
      <c r="X19" s="77" t="e">
        <f t="shared" ca="1" si="15"/>
        <v>#N/A</v>
      </c>
      <c r="Y19" s="77" t="e">
        <f t="shared" ca="1" si="9"/>
        <v>#N/A</v>
      </c>
      <c r="Z19" s="75" t="e">
        <f t="shared" ca="1" si="16"/>
        <v>#N/A</v>
      </c>
      <c r="AA19" s="75" t="e">
        <f t="shared" ca="1" si="17"/>
        <v>#N/A</v>
      </c>
      <c r="AB19" s="75" t="e">
        <f t="shared" ca="1" si="18"/>
        <v>#N/A</v>
      </c>
      <c r="AC19" s="75" t="e">
        <f t="shared" ca="1" si="19"/>
        <v>#N/A</v>
      </c>
      <c r="AD19" s="64" t="s">
        <v>28</v>
      </c>
      <c r="AE19" s="59" t="e">
        <f t="shared" si="20"/>
        <v>#N/A</v>
      </c>
    </row>
    <row r="20" spans="1:31" x14ac:dyDescent="0.2">
      <c r="A20" s="53" t="str">
        <f t="shared" si="10"/>
        <v>:</v>
      </c>
      <c r="B20" s="10"/>
      <c r="C20" s="60" t="e">
        <f>VLOOKUP(B20,'Acceptance Tests'!$A$6:$D$32,COLUMN('Acceptance Tests'!$D$6)-COLUMN('Acceptance Tests'!$A$6)+1,FALSE)</f>
        <v>#N/A</v>
      </c>
      <c r="D20" s="58"/>
      <c r="E20" s="10"/>
      <c r="F20" s="50"/>
      <c r="G20" s="68" t="e">
        <f>VLOOKUP($B20,'Acceptance Tests'!A$6:N$32,COLUMN('Acceptance Tests'!N$6)-COLUMN('Acceptance Tests'!A$6)+1,FALSE)</f>
        <v>#N/A</v>
      </c>
      <c r="H20" s="70"/>
      <c r="I20" s="70"/>
      <c r="J20" s="70"/>
      <c r="K20" s="71">
        <f t="shared" si="0"/>
        <v>0</v>
      </c>
      <c r="L20" s="71">
        <f t="shared" si="1"/>
        <v>0</v>
      </c>
      <c r="M20" s="71">
        <f t="shared" si="2"/>
        <v>0</v>
      </c>
      <c r="N20" s="71">
        <f t="shared" si="11"/>
        <v>0</v>
      </c>
      <c r="O20" s="71">
        <f t="shared" si="12"/>
        <v>0</v>
      </c>
      <c r="P20" s="71">
        <f t="shared" si="3"/>
        <v>0</v>
      </c>
      <c r="Q20" s="70">
        <f t="shared" ref="Q20:Q30" si="21">P20</f>
        <v>0</v>
      </c>
      <c r="R20" s="70">
        <f t="shared" si="5"/>
        <v>0</v>
      </c>
      <c r="S20" s="70">
        <f t="shared" si="6"/>
        <v>0</v>
      </c>
      <c r="T20" s="70">
        <f t="shared" si="7"/>
        <v>0</v>
      </c>
      <c r="U20" s="70">
        <f t="shared" si="8"/>
        <v>0</v>
      </c>
      <c r="V20" s="74" t="e">
        <f t="shared" ca="1" si="13"/>
        <v>#N/A</v>
      </c>
      <c r="W20" s="74" t="e">
        <f t="shared" ca="1" si="14"/>
        <v>#N/A</v>
      </c>
      <c r="X20" s="77" t="e">
        <f t="shared" ca="1" si="15"/>
        <v>#N/A</v>
      </c>
      <c r="Y20" s="77" t="e">
        <f t="shared" ca="1" si="9"/>
        <v>#N/A</v>
      </c>
      <c r="Z20" s="75" t="e">
        <f t="shared" ca="1" si="16"/>
        <v>#N/A</v>
      </c>
      <c r="AA20" s="75" t="e">
        <f t="shared" ca="1" si="17"/>
        <v>#N/A</v>
      </c>
      <c r="AB20" s="75" t="e">
        <f t="shared" ca="1" si="18"/>
        <v>#N/A</v>
      </c>
      <c r="AC20" s="75" t="e">
        <f t="shared" ca="1" si="19"/>
        <v>#N/A</v>
      </c>
      <c r="AD20" s="64" t="s">
        <v>28</v>
      </c>
      <c r="AE20" s="59" t="e">
        <f t="shared" si="20"/>
        <v>#N/A</v>
      </c>
    </row>
    <row r="21" spans="1:31" x14ac:dyDescent="0.2">
      <c r="A21" s="53" t="str">
        <f t="shared" si="10"/>
        <v>:</v>
      </c>
      <c r="B21" s="10"/>
      <c r="C21" s="60" t="e">
        <f>VLOOKUP(B21,'Acceptance Tests'!$A$6:$D$32,COLUMN('Acceptance Tests'!$D$6)-COLUMN('Acceptance Tests'!$A$6)+1,FALSE)</f>
        <v>#N/A</v>
      </c>
      <c r="D21" s="58"/>
      <c r="E21" s="10"/>
      <c r="F21" s="50"/>
      <c r="G21" s="68" t="e">
        <f>VLOOKUP($B21,'Acceptance Tests'!A$6:N$32,COLUMN('Acceptance Tests'!N$6)-COLUMN('Acceptance Tests'!A$6)+1,FALSE)</f>
        <v>#N/A</v>
      </c>
      <c r="H21" s="70"/>
      <c r="I21" s="70"/>
      <c r="J21" s="70"/>
      <c r="K21" s="71">
        <f t="shared" si="0"/>
        <v>0</v>
      </c>
      <c r="L21" s="71">
        <f t="shared" si="1"/>
        <v>0</v>
      </c>
      <c r="M21" s="71">
        <f t="shared" si="2"/>
        <v>0</v>
      </c>
      <c r="N21" s="71">
        <f t="shared" si="11"/>
        <v>0</v>
      </c>
      <c r="O21" s="71">
        <f t="shared" si="12"/>
        <v>0</v>
      </c>
      <c r="P21" s="71">
        <f t="shared" si="3"/>
        <v>0</v>
      </c>
      <c r="Q21" s="70">
        <f t="shared" si="21"/>
        <v>0</v>
      </c>
      <c r="R21" s="70">
        <f t="shared" si="5"/>
        <v>0</v>
      </c>
      <c r="S21" s="70">
        <f t="shared" si="6"/>
        <v>0</v>
      </c>
      <c r="T21" s="70">
        <f t="shared" si="7"/>
        <v>0</v>
      </c>
      <c r="U21" s="70">
        <f t="shared" si="8"/>
        <v>0</v>
      </c>
      <c r="V21" s="74" t="e">
        <f t="shared" ca="1" si="13"/>
        <v>#N/A</v>
      </c>
      <c r="W21" s="74" t="e">
        <f t="shared" ca="1" si="14"/>
        <v>#N/A</v>
      </c>
      <c r="X21" s="77" t="e">
        <f t="shared" ca="1" si="15"/>
        <v>#N/A</v>
      </c>
      <c r="Y21" s="77" t="e">
        <f t="shared" ca="1" si="9"/>
        <v>#N/A</v>
      </c>
      <c r="Z21" s="75" t="e">
        <f t="shared" ca="1" si="16"/>
        <v>#N/A</v>
      </c>
      <c r="AA21" s="75" t="e">
        <f t="shared" ca="1" si="17"/>
        <v>#N/A</v>
      </c>
      <c r="AB21" s="75" t="e">
        <f t="shared" ca="1" si="18"/>
        <v>#N/A</v>
      </c>
      <c r="AC21" s="75" t="e">
        <f t="shared" ca="1" si="19"/>
        <v>#N/A</v>
      </c>
      <c r="AD21" s="64" t="s">
        <v>28</v>
      </c>
      <c r="AE21" s="59" t="e">
        <f t="shared" si="20"/>
        <v>#N/A</v>
      </c>
    </row>
    <row r="22" spans="1:31" x14ac:dyDescent="0.2">
      <c r="A22" s="53" t="str">
        <f t="shared" si="10"/>
        <v>:</v>
      </c>
      <c r="B22" s="10"/>
      <c r="C22" s="60" t="e">
        <f>VLOOKUP(B22,'Acceptance Tests'!$A$6:$D$32,COLUMN('Acceptance Tests'!$D$6)-COLUMN('Acceptance Tests'!$A$6)+1,FALSE)</f>
        <v>#N/A</v>
      </c>
      <c r="D22" s="58"/>
      <c r="E22" s="10"/>
      <c r="F22" s="50"/>
      <c r="G22" s="68" t="e">
        <f>VLOOKUP($B22,'Acceptance Tests'!A$6:N$32,COLUMN('Acceptance Tests'!N$6)-COLUMN('Acceptance Tests'!A$6)+1,FALSE)</f>
        <v>#N/A</v>
      </c>
      <c r="H22" s="70"/>
      <c r="I22" s="70"/>
      <c r="J22" s="70"/>
      <c r="K22" s="71">
        <f t="shared" si="0"/>
        <v>0</v>
      </c>
      <c r="L22" s="71">
        <f t="shared" si="1"/>
        <v>0</v>
      </c>
      <c r="M22" s="71">
        <f t="shared" si="2"/>
        <v>0</v>
      </c>
      <c r="N22" s="71">
        <f t="shared" si="11"/>
        <v>0</v>
      </c>
      <c r="O22" s="71">
        <f t="shared" si="12"/>
        <v>0</v>
      </c>
      <c r="P22" s="71">
        <f t="shared" si="3"/>
        <v>0</v>
      </c>
      <c r="Q22" s="70">
        <f t="shared" si="21"/>
        <v>0</v>
      </c>
      <c r="R22" s="70">
        <f t="shared" si="5"/>
        <v>0</v>
      </c>
      <c r="S22" s="70">
        <f t="shared" si="6"/>
        <v>0</v>
      </c>
      <c r="T22" s="70">
        <f t="shared" si="7"/>
        <v>0</v>
      </c>
      <c r="U22" s="70">
        <f t="shared" si="8"/>
        <v>0</v>
      </c>
      <c r="V22" s="74" t="e">
        <f t="shared" ca="1" si="13"/>
        <v>#N/A</v>
      </c>
      <c r="W22" s="74" t="e">
        <f t="shared" ca="1" si="14"/>
        <v>#N/A</v>
      </c>
      <c r="X22" s="77" t="e">
        <f t="shared" ca="1" si="15"/>
        <v>#N/A</v>
      </c>
      <c r="Y22" s="77" t="e">
        <f t="shared" ca="1" si="9"/>
        <v>#N/A</v>
      </c>
      <c r="Z22" s="75" t="e">
        <f t="shared" ca="1" si="16"/>
        <v>#N/A</v>
      </c>
      <c r="AA22" s="75" t="e">
        <f t="shared" ca="1" si="17"/>
        <v>#N/A</v>
      </c>
      <c r="AB22" s="75" t="e">
        <f t="shared" ca="1" si="18"/>
        <v>#N/A</v>
      </c>
      <c r="AC22" s="75" t="e">
        <f t="shared" ca="1" si="19"/>
        <v>#N/A</v>
      </c>
      <c r="AD22" s="64" t="s">
        <v>28</v>
      </c>
      <c r="AE22" s="59" t="e">
        <f t="shared" si="20"/>
        <v>#N/A</v>
      </c>
    </row>
    <row r="23" spans="1:31" x14ac:dyDescent="0.2">
      <c r="A23" s="53" t="str">
        <f t="shared" si="10"/>
        <v>:</v>
      </c>
      <c r="B23" s="10"/>
      <c r="C23" s="60" t="e">
        <f>VLOOKUP(B23,'Acceptance Tests'!$A$6:$D$32,COLUMN('Acceptance Tests'!$D$6)-COLUMN('Acceptance Tests'!$A$6)+1,FALSE)</f>
        <v>#N/A</v>
      </c>
      <c r="D23" s="58"/>
      <c r="E23" s="10"/>
      <c r="F23" s="50"/>
      <c r="G23" s="68" t="e">
        <f>VLOOKUP($B23,'Acceptance Tests'!A$6:N$32,COLUMN('Acceptance Tests'!N$6)-COLUMN('Acceptance Tests'!A$6)+1,FALSE)</f>
        <v>#N/A</v>
      </c>
      <c r="H23" s="70"/>
      <c r="I23" s="70"/>
      <c r="J23" s="70"/>
      <c r="K23" s="71">
        <f t="shared" si="0"/>
        <v>0</v>
      </c>
      <c r="L23" s="71">
        <f t="shared" si="1"/>
        <v>0</v>
      </c>
      <c r="M23" s="71">
        <f t="shared" si="2"/>
        <v>0</v>
      </c>
      <c r="N23" s="71">
        <f t="shared" si="11"/>
        <v>0</v>
      </c>
      <c r="O23" s="71">
        <f t="shared" si="12"/>
        <v>0</v>
      </c>
      <c r="P23" s="71">
        <f t="shared" si="3"/>
        <v>0</v>
      </c>
      <c r="Q23" s="70">
        <f t="shared" si="21"/>
        <v>0</v>
      </c>
      <c r="R23" s="70">
        <f t="shared" si="5"/>
        <v>0</v>
      </c>
      <c r="S23" s="70">
        <f t="shared" si="6"/>
        <v>0</v>
      </c>
      <c r="T23" s="70">
        <f t="shared" si="7"/>
        <v>0</v>
      </c>
      <c r="U23" s="70">
        <f t="shared" si="8"/>
        <v>0</v>
      </c>
      <c r="V23" s="74" t="e">
        <f t="shared" ca="1" si="13"/>
        <v>#N/A</v>
      </c>
      <c r="W23" s="74" t="e">
        <f t="shared" ca="1" si="14"/>
        <v>#N/A</v>
      </c>
      <c r="X23" s="77" t="e">
        <f t="shared" ca="1" si="15"/>
        <v>#N/A</v>
      </c>
      <c r="Y23" s="77" t="e">
        <f t="shared" ca="1" si="9"/>
        <v>#N/A</v>
      </c>
      <c r="Z23" s="75" t="e">
        <f t="shared" ca="1" si="16"/>
        <v>#N/A</v>
      </c>
      <c r="AA23" s="75" t="e">
        <f t="shared" ca="1" si="17"/>
        <v>#N/A</v>
      </c>
      <c r="AB23" s="75" t="e">
        <f t="shared" ca="1" si="18"/>
        <v>#N/A</v>
      </c>
      <c r="AC23" s="75" t="e">
        <f t="shared" ca="1" si="19"/>
        <v>#N/A</v>
      </c>
      <c r="AD23" s="64" t="s">
        <v>28</v>
      </c>
      <c r="AE23" s="59" t="e">
        <f t="shared" si="20"/>
        <v>#N/A</v>
      </c>
    </row>
    <row r="24" spans="1:31" x14ac:dyDescent="0.2">
      <c r="A24" s="53" t="str">
        <f t="shared" si="10"/>
        <v>:</v>
      </c>
      <c r="B24" s="10"/>
      <c r="C24" s="60" t="e">
        <f>VLOOKUP(B24,'Acceptance Tests'!$A$6:$D$32,COLUMN('Acceptance Tests'!$D$6)-COLUMN('Acceptance Tests'!$A$6)+1,FALSE)</f>
        <v>#N/A</v>
      </c>
      <c r="D24" s="58"/>
      <c r="E24" s="10"/>
      <c r="F24" s="50"/>
      <c r="G24" s="68" t="e">
        <f>VLOOKUP($B24,'Acceptance Tests'!A$6:N$32,COLUMN('Acceptance Tests'!N$6)-COLUMN('Acceptance Tests'!A$6)+1,FALSE)</f>
        <v>#N/A</v>
      </c>
      <c r="H24" s="70"/>
      <c r="I24" s="70"/>
      <c r="J24" s="70"/>
      <c r="K24" s="71">
        <f t="shared" si="0"/>
        <v>0</v>
      </c>
      <c r="L24" s="71">
        <f t="shared" si="1"/>
        <v>0</v>
      </c>
      <c r="M24" s="71">
        <f t="shared" si="2"/>
        <v>0</v>
      </c>
      <c r="N24" s="71">
        <f t="shared" si="11"/>
        <v>0</v>
      </c>
      <c r="O24" s="71">
        <f t="shared" si="12"/>
        <v>0</v>
      </c>
      <c r="P24" s="71">
        <f t="shared" si="3"/>
        <v>0</v>
      </c>
      <c r="Q24" s="70">
        <f t="shared" si="21"/>
        <v>0</v>
      </c>
      <c r="R24" s="70">
        <f t="shared" si="5"/>
        <v>0</v>
      </c>
      <c r="S24" s="70">
        <f t="shared" si="6"/>
        <v>0</v>
      </c>
      <c r="T24" s="70">
        <f t="shared" si="7"/>
        <v>0</v>
      </c>
      <c r="U24" s="70">
        <f t="shared" si="8"/>
        <v>0</v>
      </c>
      <c r="V24" s="74" t="e">
        <f t="shared" ca="1" si="13"/>
        <v>#N/A</v>
      </c>
      <c r="W24" s="74" t="e">
        <f t="shared" ca="1" si="14"/>
        <v>#N/A</v>
      </c>
      <c r="X24" s="77" t="e">
        <f t="shared" ca="1" si="15"/>
        <v>#N/A</v>
      </c>
      <c r="Y24" s="77" t="e">
        <f t="shared" ca="1" si="9"/>
        <v>#N/A</v>
      </c>
      <c r="Z24" s="75" t="e">
        <f t="shared" ca="1" si="16"/>
        <v>#N/A</v>
      </c>
      <c r="AA24" s="75" t="e">
        <f t="shared" ca="1" si="17"/>
        <v>#N/A</v>
      </c>
      <c r="AB24" s="75" t="e">
        <f t="shared" ca="1" si="18"/>
        <v>#N/A</v>
      </c>
      <c r="AC24" s="75" t="e">
        <f t="shared" ca="1" si="19"/>
        <v>#N/A</v>
      </c>
      <c r="AD24" s="64" t="s">
        <v>28</v>
      </c>
      <c r="AE24" s="59" t="e">
        <f t="shared" si="20"/>
        <v>#N/A</v>
      </c>
    </row>
    <row r="25" spans="1:31" x14ac:dyDescent="0.2">
      <c r="A25" s="53" t="str">
        <f t="shared" si="10"/>
        <v>:</v>
      </c>
      <c r="B25" s="10"/>
      <c r="C25" s="60" t="e">
        <f>VLOOKUP(B25,'Acceptance Tests'!$A$6:$D$32,COLUMN('Acceptance Tests'!$D$6)-COLUMN('Acceptance Tests'!$A$6)+1,FALSE)</f>
        <v>#N/A</v>
      </c>
      <c r="D25" s="58"/>
      <c r="E25" s="10"/>
      <c r="F25" s="50"/>
      <c r="G25" s="68" t="e">
        <f>VLOOKUP($B25,'Acceptance Tests'!A$6:N$32,COLUMN('Acceptance Tests'!N$6)-COLUMN('Acceptance Tests'!A$6)+1,FALSE)</f>
        <v>#N/A</v>
      </c>
      <c r="H25" s="70"/>
      <c r="I25" s="70"/>
      <c r="J25" s="70"/>
      <c r="K25" s="71">
        <f t="shared" si="0"/>
        <v>0</v>
      </c>
      <c r="L25" s="71">
        <f t="shared" si="1"/>
        <v>0</v>
      </c>
      <c r="M25" s="71">
        <f t="shared" si="2"/>
        <v>0</v>
      </c>
      <c r="N25" s="71">
        <f t="shared" si="11"/>
        <v>0</v>
      </c>
      <c r="O25" s="71">
        <f t="shared" si="12"/>
        <v>0</v>
      </c>
      <c r="P25" s="71">
        <f t="shared" si="3"/>
        <v>0</v>
      </c>
      <c r="Q25" s="70">
        <f t="shared" si="21"/>
        <v>0</v>
      </c>
      <c r="R25" s="70">
        <f t="shared" si="5"/>
        <v>0</v>
      </c>
      <c r="S25" s="70">
        <f t="shared" si="6"/>
        <v>0</v>
      </c>
      <c r="T25" s="70">
        <f t="shared" si="7"/>
        <v>0</v>
      </c>
      <c r="U25" s="70">
        <f t="shared" si="8"/>
        <v>0</v>
      </c>
      <c r="V25" s="74" t="e">
        <f t="shared" ca="1" si="13"/>
        <v>#N/A</v>
      </c>
      <c r="W25" s="74" t="e">
        <f t="shared" ca="1" si="14"/>
        <v>#N/A</v>
      </c>
      <c r="X25" s="77" t="e">
        <f t="shared" ca="1" si="15"/>
        <v>#N/A</v>
      </c>
      <c r="Y25" s="77" t="e">
        <f t="shared" ca="1" si="9"/>
        <v>#N/A</v>
      </c>
      <c r="Z25" s="75" t="e">
        <f t="shared" ca="1" si="16"/>
        <v>#N/A</v>
      </c>
      <c r="AA25" s="75" t="e">
        <f t="shared" ca="1" si="17"/>
        <v>#N/A</v>
      </c>
      <c r="AB25" s="75" t="e">
        <f t="shared" ca="1" si="18"/>
        <v>#N/A</v>
      </c>
      <c r="AC25" s="75" t="e">
        <f t="shared" ca="1" si="19"/>
        <v>#N/A</v>
      </c>
      <c r="AD25" s="64" t="s">
        <v>28</v>
      </c>
      <c r="AE25" s="59" t="e">
        <f t="shared" si="20"/>
        <v>#N/A</v>
      </c>
    </row>
    <row r="26" spans="1:31" x14ac:dyDescent="0.2">
      <c r="A26" s="53" t="str">
        <f t="shared" si="10"/>
        <v>:</v>
      </c>
      <c r="B26" s="10"/>
      <c r="C26" s="60" t="e">
        <f>VLOOKUP(B26,'Acceptance Tests'!$A$6:$D$32,COLUMN('Acceptance Tests'!$D$6)-COLUMN('Acceptance Tests'!$A$6)+1,FALSE)</f>
        <v>#N/A</v>
      </c>
      <c r="D26" s="58"/>
      <c r="E26" s="10"/>
      <c r="F26" s="50"/>
      <c r="G26" s="68" t="e">
        <f>VLOOKUP($B26,'Acceptance Tests'!A$6:N$32,COLUMN('Acceptance Tests'!N$6)-COLUMN('Acceptance Tests'!A$6)+1,FALSE)</f>
        <v>#N/A</v>
      </c>
      <c r="H26" s="70"/>
      <c r="I26" s="70"/>
      <c r="J26" s="70"/>
      <c r="K26" s="71">
        <f t="shared" si="0"/>
        <v>0</v>
      </c>
      <c r="L26" s="71">
        <f t="shared" si="1"/>
        <v>0</v>
      </c>
      <c r="M26" s="71">
        <f t="shared" si="2"/>
        <v>0</v>
      </c>
      <c r="N26" s="71">
        <f t="shared" si="11"/>
        <v>0</v>
      </c>
      <c r="O26" s="71">
        <f t="shared" si="12"/>
        <v>0</v>
      </c>
      <c r="P26" s="71">
        <f t="shared" si="3"/>
        <v>0</v>
      </c>
      <c r="Q26" s="70">
        <f t="shared" si="21"/>
        <v>0</v>
      </c>
      <c r="R26" s="70">
        <f t="shared" si="5"/>
        <v>0</v>
      </c>
      <c r="S26" s="70">
        <f t="shared" si="6"/>
        <v>0</v>
      </c>
      <c r="T26" s="70">
        <f t="shared" si="7"/>
        <v>0</v>
      </c>
      <c r="U26" s="70">
        <f t="shared" si="8"/>
        <v>0</v>
      </c>
      <c r="V26" s="74" t="e">
        <f t="shared" ca="1" si="13"/>
        <v>#N/A</v>
      </c>
      <c r="W26" s="74" t="e">
        <f t="shared" ca="1" si="14"/>
        <v>#N/A</v>
      </c>
      <c r="X26" s="77" t="e">
        <f t="shared" ca="1" si="15"/>
        <v>#N/A</v>
      </c>
      <c r="Y26" s="77" t="e">
        <f t="shared" ca="1" si="9"/>
        <v>#N/A</v>
      </c>
      <c r="Z26" s="75" t="e">
        <f t="shared" ca="1" si="16"/>
        <v>#N/A</v>
      </c>
      <c r="AA26" s="75" t="e">
        <f t="shared" ca="1" si="17"/>
        <v>#N/A</v>
      </c>
      <c r="AB26" s="75" t="e">
        <f t="shared" ca="1" si="18"/>
        <v>#N/A</v>
      </c>
      <c r="AC26" s="75" t="e">
        <f t="shared" ca="1" si="19"/>
        <v>#N/A</v>
      </c>
      <c r="AD26" s="64" t="s">
        <v>28</v>
      </c>
      <c r="AE26" s="59" t="e">
        <f t="shared" si="20"/>
        <v>#N/A</v>
      </c>
    </row>
    <row r="27" spans="1:31" x14ac:dyDescent="0.2">
      <c r="A27" s="53" t="str">
        <f t="shared" si="10"/>
        <v>:</v>
      </c>
      <c r="B27" s="10"/>
      <c r="C27" s="60" t="e">
        <f>VLOOKUP(B27,'Acceptance Tests'!$A$6:$D$32,COLUMN('Acceptance Tests'!$D$6)-COLUMN('Acceptance Tests'!$A$6)+1,FALSE)</f>
        <v>#N/A</v>
      </c>
      <c r="D27" s="58"/>
      <c r="E27" s="10"/>
      <c r="F27" s="50"/>
      <c r="G27" s="68" t="e">
        <f>VLOOKUP($B27,'Acceptance Tests'!A$6:N$32,COLUMN('Acceptance Tests'!N$6)-COLUMN('Acceptance Tests'!A$6)+1,FALSE)</f>
        <v>#N/A</v>
      </c>
      <c r="H27" s="70"/>
      <c r="I27" s="70"/>
      <c r="J27" s="70"/>
      <c r="K27" s="71">
        <f t="shared" si="0"/>
        <v>0</v>
      </c>
      <c r="L27" s="71">
        <f t="shared" si="1"/>
        <v>0</v>
      </c>
      <c r="M27" s="71">
        <f t="shared" si="2"/>
        <v>0</v>
      </c>
      <c r="N27" s="71">
        <f t="shared" si="11"/>
        <v>0</v>
      </c>
      <c r="O27" s="71">
        <f t="shared" si="12"/>
        <v>0</v>
      </c>
      <c r="P27" s="71">
        <f t="shared" si="3"/>
        <v>0</v>
      </c>
      <c r="Q27" s="70">
        <f t="shared" si="21"/>
        <v>0</v>
      </c>
      <c r="R27" s="70">
        <f t="shared" si="5"/>
        <v>0</v>
      </c>
      <c r="S27" s="70">
        <f t="shared" si="6"/>
        <v>0</v>
      </c>
      <c r="T27" s="70">
        <f t="shared" si="7"/>
        <v>0</v>
      </c>
      <c r="U27" s="70">
        <f t="shared" si="8"/>
        <v>0</v>
      </c>
      <c r="V27" s="74" t="e">
        <f t="shared" ca="1" si="13"/>
        <v>#N/A</v>
      </c>
      <c r="W27" s="74" t="e">
        <f t="shared" ca="1" si="14"/>
        <v>#N/A</v>
      </c>
      <c r="X27" s="77" t="e">
        <f t="shared" ca="1" si="15"/>
        <v>#N/A</v>
      </c>
      <c r="Y27" s="77" t="e">
        <f t="shared" ca="1" si="9"/>
        <v>#N/A</v>
      </c>
      <c r="Z27" s="75" t="e">
        <f t="shared" ca="1" si="16"/>
        <v>#N/A</v>
      </c>
      <c r="AA27" s="75" t="e">
        <f t="shared" ca="1" si="17"/>
        <v>#N/A</v>
      </c>
      <c r="AB27" s="75" t="e">
        <f t="shared" ca="1" si="18"/>
        <v>#N/A</v>
      </c>
      <c r="AC27" s="75" t="e">
        <f t="shared" ca="1" si="19"/>
        <v>#N/A</v>
      </c>
      <c r="AD27" s="64" t="s">
        <v>28</v>
      </c>
      <c r="AE27" s="59" t="e">
        <f t="shared" si="20"/>
        <v>#N/A</v>
      </c>
    </row>
    <row r="28" spans="1:31" x14ac:dyDescent="0.2">
      <c r="A28" s="53" t="str">
        <f t="shared" si="10"/>
        <v>:</v>
      </c>
      <c r="B28" s="10"/>
      <c r="C28" s="60" t="e">
        <f>VLOOKUP(B28,'Acceptance Tests'!$A$6:$D$32,COLUMN('Acceptance Tests'!$D$6)-COLUMN('Acceptance Tests'!$A$6)+1,FALSE)</f>
        <v>#N/A</v>
      </c>
      <c r="D28" s="58"/>
      <c r="E28" s="10"/>
      <c r="F28" s="50"/>
      <c r="G28" s="68" t="e">
        <f>VLOOKUP($B28,'Acceptance Tests'!A$6:N$32,COLUMN('Acceptance Tests'!N$6)-COLUMN('Acceptance Tests'!A$6)+1,FALSE)</f>
        <v>#N/A</v>
      </c>
      <c r="H28" s="70"/>
      <c r="I28" s="70"/>
      <c r="J28" s="70"/>
      <c r="K28" s="71">
        <f t="shared" si="0"/>
        <v>0</v>
      </c>
      <c r="L28" s="71">
        <f t="shared" si="1"/>
        <v>0</v>
      </c>
      <c r="M28" s="71">
        <f t="shared" si="2"/>
        <v>0</v>
      </c>
      <c r="N28" s="71">
        <f t="shared" si="11"/>
        <v>0</v>
      </c>
      <c r="O28" s="71">
        <f t="shared" si="12"/>
        <v>0</v>
      </c>
      <c r="P28" s="71">
        <f t="shared" si="3"/>
        <v>0</v>
      </c>
      <c r="Q28" s="70">
        <f t="shared" si="21"/>
        <v>0</v>
      </c>
      <c r="R28" s="70">
        <f t="shared" si="5"/>
        <v>0</v>
      </c>
      <c r="S28" s="70">
        <f t="shared" si="6"/>
        <v>0</v>
      </c>
      <c r="T28" s="70">
        <f t="shared" si="7"/>
        <v>0</v>
      </c>
      <c r="U28" s="70">
        <f t="shared" si="8"/>
        <v>0</v>
      </c>
      <c r="V28" s="74" t="e">
        <f t="shared" ca="1" si="13"/>
        <v>#N/A</v>
      </c>
      <c r="W28" s="74" t="e">
        <f t="shared" ca="1" si="14"/>
        <v>#N/A</v>
      </c>
      <c r="X28" s="77" t="e">
        <f t="shared" ca="1" si="15"/>
        <v>#N/A</v>
      </c>
      <c r="Y28" s="77" t="e">
        <f t="shared" ca="1" si="9"/>
        <v>#N/A</v>
      </c>
      <c r="Z28" s="75" t="e">
        <f t="shared" ca="1" si="16"/>
        <v>#N/A</v>
      </c>
      <c r="AA28" s="75" t="e">
        <f t="shared" ca="1" si="17"/>
        <v>#N/A</v>
      </c>
      <c r="AB28" s="75" t="e">
        <f t="shared" ca="1" si="18"/>
        <v>#N/A</v>
      </c>
      <c r="AC28" s="75" t="e">
        <f t="shared" ca="1" si="19"/>
        <v>#N/A</v>
      </c>
      <c r="AD28" s="64" t="s">
        <v>28</v>
      </c>
      <c r="AE28" s="59" t="e">
        <f t="shared" si="20"/>
        <v>#N/A</v>
      </c>
    </row>
    <row r="29" spans="1:31" x14ac:dyDescent="0.2">
      <c r="A29" s="53" t="str">
        <f t="shared" si="10"/>
        <v>:</v>
      </c>
      <c r="B29" s="10"/>
      <c r="C29" s="60" t="e">
        <f>VLOOKUP(B29,'Acceptance Tests'!$A$6:$D$32,COLUMN('Acceptance Tests'!$D$6)-COLUMN('Acceptance Tests'!$A$6)+1,FALSE)</f>
        <v>#N/A</v>
      </c>
      <c r="D29" s="58"/>
      <c r="E29" s="10"/>
      <c r="F29" s="50"/>
      <c r="G29" s="68" t="e">
        <f>VLOOKUP($B29,'Acceptance Tests'!A$6:N$32,COLUMN('Acceptance Tests'!N$6)-COLUMN('Acceptance Tests'!A$6)+1,FALSE)</f>
        <v>#N/A</v>
      </c>
      <c r="H29" s="70"/>
      <c r="I29" s="70"/>
      <c r="J29" s="70"/>
      <c r="K29" s="71">
        <f t="shared" si="0"/>
        <v>0</v>
      </c>
      <c r="L29" s="71">
        <f t="shared" si="1"/>
        <v>0</v>
      </c>
      <c r="M29" s="71">
        <f t="shared" si="2"/>
        <v>0</v>
      </c>
      <c r="N29" s="71">
        <f t="shared" si="11"/>
        <v>0</v>
      </c>
      <c r="O29" s="71">
        <f t="shared" si="12"/>
        <v>0</v>
      </c>
      <c r="P29" s="71">
        <f t="shared" si="3"/>
        <v>0</v>
      </c>
      <c r="Q29" s="70">
        <f t="shared" si="21"/>
        <v>0</v>
      </c>
      <c r="R29" s="70">
        <f t="shared" si="5"/>
        <v>0</v>
      </c>
      <c r="S29" s="70">
        <f t="shared" si="6"/>
        <v>0</v>
      </c>
      <c r="T29" s="70">
        <f t="shared" si="7"/>
        <v>0</v>
      </c>
      <c r="U29" s="70">
        <f t="shared" si="8"/>
        <v>0</v>
      </c>
      <c r="V29" s="74" t="e">
        <f t="shared" ca="1" si="13"/>
        <v>#N/A</v>
      </c>
      <c r="W29" s="74" t="e">
        <f t="shared" ca="1" si="14"/>
        <v>#N/A</v>
      </c>
      <c r="X29" s="77" t="e">
        <f t="shared" ca="1" si="15"/>
        <v>#N/A</v>
      </c>
      <c r="Y29" s="77" t="e">
        <f t="shared" ca="1" si="9"/>
        <v>#N/A</v>
      </c>
      <c r="Z29" s="75" t="e">
        <f t="shared" ca="1" si="16"/>
        <v>#N/A</v>
      </c>
      <c r="AA29" s="75" t="e">
        <f t="shared" ca="1" si="17"/>
        <v>#N/A</v>
      </c>
      <c r="AB29" s="75" t="e">
        <f t="shared" ca="1" si="18"/>
        <v>#N/A</v>
      </c>
      <c r="AC29" s="75" t="e">
        <f t="shared" ca="1" si="19"/>
        <v>#N/A</v>
      </c>
      <c r="AD29" s="64" t="s">
        <v>28</v>
      </c>
      <c r="AE29" s="59" t="e">
        <f t="shared" si="20"/>
        <v>#N/A</v>
      </c>
    </row>
    <row r="30" spans="1:31" x14ac:dyDescent="0.2">
      <c r="A30" s="53" t="str">
        <f t="shared" si="10"/>
        <v>:</v>
      </c>
      <c r="B30" s="10"/>
      <c r="C30" s="60" t="e">
        <f>VLOOKUP(B30,'Acceptance Tests'!$A$6:$D$32,COLUMN('Acceptance Tests'!$D$6)-COLUMN('Acceptance Tests'!$A$6)+1,FALSE)</f>
        <v>#N/A</v>
      </c>
      <c r="D30" s="58"/>
      <c r="E30" s="10"/>
      <c r="F30" s="50"/>
      <c r="G30" s="68" t="e">
        <f>VLOOKUP($B30,'Acceptance Tests'!A$6:N$32,COLUMN('Acceptance Tests'!N$6)-COLUMN('Acceptance Tests'!A$6)+1,FALSE)</f>
        <v>#N/A</v>
      </c>
      <c r="H30" s="70"/>
      <c r="I30" s="70"/>
      <c r="J30" s="70"/>
      <c r="K30" s="71">
        <f t="shared" si="0"/>
        <v>0</v>
      </c>
      <c r="L30" s="71">
        <f t="shared" si="1"/>
        <v>0</v>
      </c>
      <c r="M30" s="71">
        <f t="shared" si="2"/>
        <v>0</v>
      </c>
      <c r="N30" s="71">
        <f t="shared" si="11"/>
        <v>0</v>
      </c>
      <c r="O30" s="71">
        <f t="shared" si="12"/>
        <v>0</v>
      </c>
      <c r="P30" s="71">
        <f t="shared" si="3"/>
        <v>0</v>
      </c>
      <c r="Q30" s="70">
        <f t="shared" si="21"/>
        <v>0</v>
      </c>
      <c r="R30" s="70">
        <f t="shared" si="5"/>
        <v>0</v>
      </c>
      <c r="S30" s="70">
        <f t="shared" si="6"/>
        <v>0</v>
      </c>
      <c r="T30" s="70">
        <f t="shared" si="7"/>
        <v>0</v>
      </c>
      <c r="U30" s="70">
        <f t="shared" si="8"/>
        <v>0</v>
      </c>
      <c r="V30" s="74" t="e">
        <f t="shared" ca="1" si="13"/>
        <v>#N/A</v>
      </c>
      <c r="W30" s="74" t="e">
        <f t="shared" ca="1" si="14"/>
        <v>#N/A</v>
      </c>
      <c r="X30" s="78" t="e">
        <f t="shared" ca="1" si="15"/>
        <v>#N/A</v>
      </c>
      <c r="Y30" s="78" t="e">
        <f t="shared" ca="1" si="9"/>
        <v>#N/A</v>
      </c>
      <c r="Z30" s="75" t="e">
        <f t="shared" ca="1" si="16"/>
        <v>#N/A</v>
      </c>
      <c r="AA30" s="75" t="e">
        <f t="shared" ca="1" si="17"/>
        <v>#N/A</v>
      </c>
      <c r="AB30" s="75" t="e">
        <f t="shared" ca="1" si="18"/>
        <v>#N/A</v>
      </c>
      <c r="AC30" s="75" t="e">
        <f t="shared" ca="1" si="19"/>
        <v>#N/A</v>
      </c>
      <c r="AD30" s="64" t="s">
        <v>28</v>
      </c>
      <c r="AE30" s="59" t="e">
        <f t="shared" si="20"/>
        <v>#N/A</v>
      </c>
    </row>
    <row r="31" spans="1:31" x14ac:dyDescent="0.2">
      <c r="E31" s="51" t="s">
        <v>22</v>
      </c>
      <c r="F31" s="52"/>
      <c r="G31" s="70">
        <v>1</v>
      </c>
      <c r="H31" s="72">
        <f t="shared" ref="H31:K35" si="22">SUMIF($G$4:$G$30,$G31,H$4:H$30)</f>
        <v>0</v>
      </c>
      <c r="I31" s="72">
        <f>SUMIF($G$4:$G$30,$G31,I$4:I$30)</f>
        <v>0</v>
      </c>
      <c r="J31" s="72">
        <f t="shared" si="22"/>
        <v>0</v>
      </c>
      <c r="K31" s="72">
        <f t="shared" si="22"/>
        <v>0</v>
      </c>
      <c r="L31" s="72">
        <f>SQRT(SUMIF($G$4:$G$30,$G31,M$4:M$30))</f>
        <v>0</v>
      </c>
      <c r="M31" s="72">
        <f t="shared" si="2"/>
        <v>0</v>
      </c>
      <c r="N31" s="72">
        <f t="shared" si="11"/>
        <v>0</v>
      </c>
      <c r="O31" s="72">
        <f t="shared" si="12"/>
        <v>0</v>
      </c>
      <c r="P31" s="72">
        <f t="shared" ref="P31:U35" si="23">SUMIF($G$4:$G$30,$G31,P$4:P$30)</f>
        <v>0</v>
      </c>
      <c r="Q31" s="72">
        <f t="shared" si="23"/>
        <v>0</v>
      </c>
      <c r="R31" s="72">
        <f t="shared" si="23"/>
        <v>0</v>
      </c>
      <c r="S31" s="72">
        <f t="shared" si="23"/>
        <v>0</v>
      </c>
      <c r="T31" s="72">
        <f t="shared" si="23"/>
        <v>0</v>
      </c>
      <c r="U31" s="72">
        <f t="shared" si="23"/>
        <v>0</v>
      </c>
      <c r="V31" s="79">
        <f>U31</f>
        <v>0</v>
      </c>
      <c r="W31" s="73" t="s">
        <v>28</v>
      </c>
      <c r="X31" s="73" t="s">
        <v>28</v>
      </c>
      <c r="Y31" s="66" t="s">
        <v>28</v>
      </c>
      <c r="Z31" s="66" t="s">
        <v>28</v>
      </c>
      <c r="AA31" s="66" t="s">
        <v>28</v>
      </c>
      <c r="AB31" s="66" t="s">
        <v>28</v>
      </c>
      <c r="AC31" s="66" t="s">
        <v>28</v>
      </c>
      <c r="AD31" s="67"/>
      <c r="AE31" s="67">
        <v>5</v>
      </c>
    </row>
    <row r="32" spans="1:31" x14ac:dyDescent="0.2">
      <c r="E32" s="51" t="s">
        <v>22</v>
      </c>
      <c r="F32" s="52"/>
      <c r="G32" s="70">
        <v>2</v>
      </c>
      <c r="H32" s="72">
        <f t="shared" si="22"/>
        <v>0</v>
      </c>
      <c r="I32" s="72">
        <f>SUMIF($G$4:$G$30,$G32,I$4:I$30)</f>
        <v>0</v>
      </c>
      <c r="J32" s="72">
        <f t="shared" si="22"/>
        <v>0</v>
      </c>
      <c r="K32" s="72">
        <f t="shared" si="22"/>
        <v>0</v>
      </c>
      <c r="L32" s="72">
        <f t="shared" ref="L32:L35" si="24">SQRT(SUMIF($G$4:$G$30,$G32,M$4:M$30))</f>
        <v>0</v>
      </c>
      <c r="M32" s="72">
        <f>L32*L32</f>
        <v>0</v>
      </c>
      <c r="N32" s="72">
        <f>ROUND(K32-(ROUND(SQRT(M32),0)),0)</f>
        <v>0</v>
      </c>
      <c r="O32" s="72">
        <f>ROUND(K32+(ROUND(SQRT(M32),0)),0)</f>
        <v>0</v>
      </c>
      <c r="P32" s="72">
        <f t="shared" si="23"/>
        <v>0</v>
      </c>
      <c r="Q32" s="72">
        <f t="shared" si="23"/>
        <v>0</v>
      </c>
      <c r="R32" s="72">
        <f t="shared" si="23"/>
        <v>0</v>
      </c>
      <c r="S32" s="72">
        <f t="shared" si="23"/>
        <v>0</v>
      </c>
      <c r="T32" s="72">
        <f t="shared" si="23"/>
        <v>0</v>
      </c>
      <c r="U32" s="72">
        <f t="shared" si="23"/>
        <v>0</v>
      </c>
      <c r="V32" s="79">
        <f>U32</f>
        <v>0</v>
      </c>
      <c r="W32" s="73" t="s">
        <v>28</v>
      </c>
      <c r="X32" s="73" t="s">
        <v>28</v>
      </c>
      <c r="Y32" s="66" t="s">
        <v>28</v>
      </c>
      <c r="Z32" s="66" t="s">
        <v>28</v>
      </c>
      <c r="AA32" s="66" t="s">
        <v>28</v>
      </c>
      <c r="AB32" s="66" t="s">
        <v>28</v>
      </c>
      <c r="AC32" s="66" t="s">
        <v>28</v>
      </c>
      <c r="AD32" s="67"/>
      <c r="AE32" s="67">
        <v>5</v>
      </c>
    </row>
    <row r="33" spans="5:31" x14ac:dyDescent="0.2">
      <c r="E33" s="51" t="s">
        <v>22</v>
      </c>
      <c r="F33" s="52"/>
      <c r="G33" s="70">
        <v>3</v>
      </c>
      <c r="H33" s="72">
        <f t="shared" si="22"/>
        <v>0</v>
      </c>
      <c r="I33" s="72">
        <f>SUMIF($G$4:$G$30,$G33,I$4:I$30)</f>
        <v>0</v>
      </c>
      <c r="J33" s="72">
        <f t="shared" si="22"/>
        <v>0</v>
      </c>
      <c r="K33" s="72">
        <f t="shared" si="22"/>
        <v>0</v>
      </c>
      <c r="L33" s="72">
        <f t="shared" si="24"/>
        <v>0</v>
      </c>
      <c r="M33" s="72">
        <f>L33*L33</f>
        <v>0</v>
      </c>
      <c r="N33" s="72">
        <f>ROUND(K33-(ROUND(SQRT(M33),0)),0)</f>
        <v>0</v>
      </c>
      <c r="O33" s="72">
        <f>ROUND(K33+(ROUND(SQRT(M33),0)),0)</f>
        <v>0</v>
      </c>
      <c r="P33" s="72">
        <f t="shared" si="23"/>
        <v>0</v>
      </c>
      <c r="Q33" s="72">
        <f t="shared" si="23"/>
        <v>0</v>
      </c>
      <c r="R33" s="72">
        <f t="shared" si="23"/>
        <v>0</v>
      </c>
      <c r="S33" s="72">
        <f t="shared" si="23"/>
        <v>0</v>
      </c>
      <c r="T33" s="72">
        <f t="shared" si="23"/>
        <v>0</v>
      </c>
      <c r="U33" s="72">
        <f t="shared" si="23"/>
        <v>0</v>
      </c>
      <c r="V33" s="79">
        <f>U33</f>
        <v>0</v>
      </c>
      <c r="W33" s="73" t="s">
        <v>28</v>
      </c>
      <c r="X33" s="73" t="s">
        <v>28</v>
      </c>
      <c r="Y33" s="66" t="s">
        <v>28</v>
      </c>
      <c r="Z33" s="66" t="s">
        <v>28</v>
      </c>
      <c r="AA33" s="66" t="s">
        <v>28</v>
      </c>
      <c r="AB33" s="66" t="s">
        <v>28</v>
      </c>
      <c r="AC33" s="66" t="s">
        <v>28</v>
      </c>
      <c r="AD33" s="67"/>
      <c r="AE33" s="67">
        <v>5</v>
      </c>
    </row>
    <row r="34" spans="5:31" x14ac:dyDescent="0.2">
      <c r="E34" s="51" t="s">
        <v>22</v>
      </c>
      <c r="F34" s="52"/>
      <c r="G34" s="70">
        <v>4</v>
      </c>
      <c r="H34" s="72">
        <f t="shared" si="22"/>
        <v>0</v>
      </c>
      <c r="I34" s="72">
        <f>SUMIF($G$4:$G$30,$G34,I$4:I$30)</f>
        <v>0</v>
      </c>
      <c r="J34" s="72">
        <f t="shared" si="22"/>
        <v>0</v>
      </c>
      <c r="K34" s="72">
        <f t="shared" si="22"/>
        <v>0</v>
      </c>
      <c r="L34" s="72">
        <f t="shared" si="24"/>
        <v>0</v>
      </c>
      <c r="M34" s="72">
        <f>L34*L34</f>
        <v>0</v>
      </c>
      <c r="N34" s="72">
        <f>ROUND(K34-(ROUND(SQRT(M34),0)),0)</f>
        <v>0</v>
      </c>
      <c r="O34" s="72">
        <f>ROUND(K34+(ROUND(SQRT(M34),0)),0)</f>
        <v>0</v>
      </c>
      <c r="P34" s="72">
        <f t="shared" si="23"/>
        <v>0</v>
      </c>
      <c r="Q34" s="72">
        <f t="shared" si="23"/>
        <v>0</v>
      </c>
      <c r="R34" s="72">
        <f t="shared" si="23"/>
        <v>0</v>
      </c>
      <c r="S34" s="72">
        <f t="shared" si="23"/>
        <v>0</v>
      </c>
      <c r="T34" s="72">
        <f t="shared" si="23"/>
        <v>0</v>
      </c>
      <c r="U34" s="72">
        <f t="shared" si="23"/>
        <v>0</v>
      </c>
      <c r="V34" s="79">
        <f>U34</f>
        <v>0</v>
      </c>
      <c r="W34" s="73" t="s">
        <v>28</v>
      </c>
      <c r="X34" s="73" t="s">
        <v>28</v>
      </c>
      <c r="Y34" s="66" t="s">
        <v>28</v>
      </c>
      <c r="Z34" s="66" t="s">
        <v>28</v>
      </c>
      <c r="AA34" s="66" t="s">
        <v>28</v>
      </c>
      <c r="AB34" s="66" t="s">
        <v>28</v>
      </c>
      <c r="AC34" s="66" t="s">
        <v>28</v>
      </c>
      <c r="AD34" s="67"/>
      <c r="AE34" s="67">
        <v>5</v>
      </c>
    </row>
    <row r="35" spans="5:31" x14ac:dyDescent="0.2">
      <c r="E35" s="51" t="s">
        <v>22</v>
      </c>
      <c r="F35" s="52"/>
      <c r="G35" s="70">
        <v>5</v>
      </c>
      <c r="H35" s="72">
        <f t="shared" si="22"/>
        <v>0</v>
      </c>
      <c r="I35" s="72">
        <f>SUMIF($G$4:$G$30,$G35,I$4:I$30)</f>
        <v>0</v>
      </c>
      <c r="J35" s="72">
        <f t="shared" si="22"/>
        <v>0</v>
      </c>
      <c r="K35" s="72">
        <f t="shared" si="22"/>
        <v>0</v>
      </c>
      <c r="L35" s="72">
        <f t="shared" si="24"/>
        <v>0</v>
      </c>
      <c r="M35" s="72">
        <f>L35*L35</f>
        <v>0</v>
      </c>
      <c r="N35" s="72">
        <f>ROUND(K35-(ROUND(SQRT(M35),0)),0)</f>
        <v>0</v>
      </c>
      <c r="O35" s="72">
        <f>ROUND(K35+(ROUND(SQRT(M35),0)),0)</f>
        <v>0</v>
      </c>
      <c r="P35" s="72">
        <f t="shared" si="23"/>
        <v>0</v>
      </c>
      <c r="Q35" s="72">
        <f t="shared" si="23"/>
        <v>0</v>
      </c>
      <c r="R35" s="72">
        <f t="shared" si="23"/>
        <v>0</v>
      </c>
      <c r="S35" s="72">
        <f t="shared" si="23"/>
        <v>0</v>
      </c>
      <c r="T35" s="72">
        <f t="shared" si="23"/>
        <v>0</v>
      </c>
      <c r="U35" s="72">
        <f t="shared" si="23"/>
        <v>0</v>
      </c>
      <c r="V35" s="79">
        <f>U35</f>
        <v>0</v>
      </c>
      <c r="W35" s="73" t="s">
        <v>28</v>
      </c>
      <c r="X35" s="73" t="s">
        <v>28</v>
      </c>
      <c r="Y35" s="66" t="s">
        <v>28</v>
      </c>
      <c r="Z35" s="66" t="s">
        <v>28</v>
      </c>
      <c r="AA35" s="66" t="s">
        <v>28</v>
      </c>
      <c r="AB35" s="66" t="s">
        <v>28</v>
      </c>
      <c r="AC35" s="66" t="s">
        <v>28</v>
      </c>
      <c r="AD35" s="67"/>
      <c r="AE35" s="67">
        <v>5</v>
      </c>
    </row>
  </sheetData>
  <mergeCells count="1">
    <mergeCell ref="A1:E1"/>
  </mergeCells>
  <pageMargins left="0.75" right="0.75" top="1" bottom="1" header="0.5" footer="0.5"/>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6"/>
  <sheetViews>
    <sheetView workbookViewId="0">
      <selection activeCell="B7" sqref="B7"/>
    </sheetView>
  </sheetViews>
  <sheetFormatPr defaultRowHeight="12.75" x14ac:dyDescent="0.2"/>
  <cols>
    <col min="15" max="15" width="5.85546875" bestFit="1" customWidth="1"/>
    <col min="16" max="16" width="7.7109375" bestFit="1" customWidth="1"/>
    <col min="17" max="17" width="14.85546875" bestFit="1" customWidth="1"/>
  </cols>
  <sheetData>
    <row r="1" spans="1:17" x14ac:dyDescent="0.2">
      <c r="A1" s="8" t="s">
        <v>25</v>
      </c>
      <c r="B1" s="8" t="s">
        <v>36</v>
      </c>
      <c r="C1" s="8" t="s">
        <v>33</v>
      </c>
      <c r="D1" s="8" t="s">
        <v>34</v>
      </c>
      <c r="E1" s="8" t="s">
        <v>35</v>
      </c>
    </row>
    <row r="2" spans="1:17" ht="15" x14ac:dyDescent="0.25">
      <c r="A2" s="9">
        <v>1</v>
      </c>
      <c r="B2" s="5">
        <f>SUMIF('Acceptance Tests'!N$8:N$32,'Velocity Chart'!A2,'Acceptance Tests'!AG$8:AG$32)</f>
        <v>0</v>
      </c>
      <c r="C2" s="5">
        <f>AVERAGE($B$2:$B$3)</f>
        <v>0</v>
      </c>
      <c r="D2" s="5">
        <f>MIN($B$2:$B$3)</f>
        <v>0</v>
      </c>
      <c r="E2" s="5">
        <f>MAX($B$2:$B$8)</f>
        <v>0</v>
      </c>
    </row>
    <row r="3" spans="1:17" ht="15" x14ac:dyDescent="0.25">
      <c r="A3" s="9">
        <v>2</v>
      </c>
      <c r="B3" s="5">
        <f>SUMIF('Acceptance Tests'!N$8:N$32,'Velocity Chart'!A3,'Acceptance Tests'!AG$8:AG$32)</f>
        <v>0</v>
      </c>
      <c r="C3" s="5">
        <f t="shared" ref="C3:C6" si="0">AVERAGE($B$2:$B$3)</f>
        <v>0</v>
      </c>
      <c r="D3" s="5">
        <f t="shared" ref="D3:D6" si="1">MIN($B$2:$B$3)</f>
        <v>0</v>
      </c>
      <c r="E3" s="5">
        <f>MAX($B$2:$B$3)</f>
        <v>0</v>
      </c>
      <c r="O3" s="11"/>
      <c r="P3" s="11"/>
      <c r="Q3" s="11"/>
    </row>
    <row r="4" spans="1:17" ht="15" x14ac:dyDescent="0.25">
      <c r="A4" s="9">
        <v>3</v>
      </c>
      <c r="B4" s="5">
        <f>SUMIF('Acceptance Tests'!N$8:N$32,'Velocity Chart'!A4,'Acceptance Tests'!AG$8:AG$32)</f>
        <v>0</v>
      </c>
      <c r="C4" s="5">
        <f t="shared" si="0"/>
        <v>0</v>
      </c>
      <c r="D4" s="5">
        <f t="shared" si="1"/>
        <v>0</v>
      </c>
      <c r="E4" s="5">
        <f>MAX($B$2:$B$8)</f>
        <v>0</v>
      </c>
      <c r="O4" s="11"/>
      <c r="P4" s="12"/>
      <c r="Q4" s="12"/>
    </row>
    <row r="5" spans="1:17" ht="15" x14ac:dyDescent="0.25">
      <c r="A5" s="9">
        <v>4</v>
      </c>
      <c r="B5" s="5">
        <f>SUMIF('Acceptance Tests'!N$8:N$32,'Velocity Chart'!A5,'Acceptance Tests'!AG$8:AG$32)</f>
        <v>0</v>
      </c>
      <c r="C5" s="5">
        <f t="shared" si="0"/>
        <v>0</v>
      </c>
      <c r="D5" s="5">
        <f t="shared" si="1"/>
        <v>0</v>
      </c>
      <c r="E5" s="5">
        <f>MAX($B$2:$B$8)</f>
        <v>0</v>
      </c>
      <c r="O5" s="11"/>
      <c r="P5" s="12"/>
      <c r="Q5" s="12"/>
    </row>
    <row r="6" spans="1:17" ht="15" x14ac:dyDescent="0.25">
      <c r="A6" s="9">
        <v>5</v>
      </c>
      <c r="B6" s="5">
        <f>SUMIF('Acceptance Tests'!N$8:N$32,'Velocity Chart'!A6,'Acceptance Tests'!AG$8:AG$32)</f>
        <v>0</v>
      </c>
      <c r="C6" s="5">
        <f t="shared" si="0"/>
        <v>0</v>
      </c>
      <c r="D6" s="5">
        <f t="shared" si="1"/>
        <v>0</v>
      </c>
      <c r="E6" s="5">
        <f>MAX($B$2:$B$8)</f>
        <v>0</v>
      </c>
      <c r="O6" s="11"/>
      <c r="P6" s="12"/>
      <c r="Q6" s="12"/>
    </row>
    <row r="7" spans="1:17" x14ac:dyDescent="0.2">
      <c r="O7" s="11"/>
      <c r="P7" s="12"/>
      <c r="Q7" s="12"/>
    </row>
    <row r="8" spans="1:17" x14ac:dyDescent="0.2">
      <c r="O8" s="11"/>
      <c r="P8" s="12"/>
      <c r="Q8" s="12"/>
    </row>
    <row r="9" spans="1:17" x14ac:dyDescent="0.2">
      <c r="O9" s="11"/>
      <c r="P9" s="12"/>
      <c r="Q9" s="12"/>
    </row>
    <row r="20" spans="1:5" x14ac:dyDescent="0.2">
      <c r="A20" s="8" t="s">
        <v>25</v>
      </c>
      <c r="B20" s="8" t="s">
        <v>36</v>
      </c>
      <c r="C20" s="8" t="s">
        <v>33</v>
      </c>
      <c r="D20" s="8" t="s">
        <v>34</v>
      </c>
      <c r="E20" s="8" t="s">
        <v>35</v>
      </c>
    </row>
    <row r="21" spans="1:5" ht="15" x14ac:dyDescent="0.25">
      <c r="A21" s="9">
        <v>1</v>
      </c>
      <c r="B21" s="5">
        <f>SUMIF('Acceptance Tests'!N$6:N$32,A21,'Acceptance Tests'!U$6:U$32)</f>
        <v>0</v>
      </c>
      <c r="C21" s="5">
        <f>AVERAGE($B$21:$B$22)</f>
        <v>0</v>
      </c>
      <c r="D21" s="5">
        <f>MIN($B$21:$B$22)</f>
        <v>0</v>
      </c>
      <c r="E21" s="5">
        <f>MAX($B$21:$B$22)</f>
        <v>0</v>
      </c>
    </row>
    <row r="22" spans="1:5" ht="15" x14ac:dyDescent="0.25">
      <c r="A22" s="9">
        <v>2</v>
      </c>
      <c r="B22" s="5">
        <f>SUMIF('Acceptance Tests'!N$6:N$32,A22,'Acceptance Tests'!U$6:U$32)</f>
        <v>0</v>
      </c>
      <c r="C22" s="5">
        <f t="shared" ref="C22:C25" si="2">AVERAGE($B$21:$B$22)</f>
        <v>0</v>
      </c>
      <c r="D22" s="5">
        <f t="shared" ref="D22:D25" si="3">MIN($B$21:$B$22)</f>
        <v>0</v>
      </c>
      <c r="E22" s="5">
        <f t="shared" ref="E22:E25" si="4">MAX($B$21:$B$22)</f>
        <v>0</v>
      </c>
    </row>
    <row r="23" spans="1:5" ht="15" x14ac:dyDescent="0.25">
      <c r="A23" s="9">
        <v>3</v>
      </c>
      <c r="B23" s="5">
        <f>SUMIF('Acceptance Tests'!N$6:N$32,A23,'Acceptance Tests'!U$6:U$32)</f>
        <v>0</v>
      </c>
      <c r="C23" s="5">
        <f t="shared" si="2"/>
        <v>0</v>
      </c>
      <c r="D23" s="5">
        <f t="shared" si="3"/>
        <v>0</v>
      </c>
      <c r="E23" s="5">
        <f t="shared" si="4"/>
        <v>0</v>
      </c>
    </row>
    <row r="24" spans="1:5" ht="15" x14ac:dyDescent="0.25">
      <c r="A24" s="9">
        <v>4</v>
      </c>
      <c r="B24" s="5">
        <f>SUMIF('Acceptance Tests'!N$6:N$32,A24,'Acceptance Tests'!U$6:U$32)</f>
        <v>0</v>
      </c>
      <c r="C24" s="5">
        <f t="shared" si="2"/>
        <v>0</v>
      </c>
      <c r="D24" s="5">
        <f t="shared" si="3"/>
        <v>0</v>
      </c>
      <c r="E24" s="5">
        <f t="shared" si="4"/>
        <v>0</v>
      </c>
    </row>
    <row r="25" spans="1:5" ht="15" x14ac:dyDescent="0.25">
      <c r="A25" s="9">
        <v>5</v>
      </c>
      <c r="B25" s="5">
        <f>SUMIF('Acceptance Tests'!N$6:N$32,A25,'Acceptance Tests'!U$6:U$32)</f>
        <v>0</v>
      </c>
      <c r="C25" s="5">
        <f t="shared" si="2"/>
        <v>0</v>
      </c>
      <c r="D25" s="5">
        <f t="shared" si="3"/>
        <v>0</v>
      </c>
      <c r="E25" s="5">
        <f t="shared" si="4"/>
        <v>0</v>
      </c>
    </row>
    <row r="33" spans="1:5" x14ac:dyDescent="0.2">
      <c r="B33" s="81"/>
    </row>
    <row r="34" spans="1:5" x14ac:dyDescent="0.2">
      <c r="B34" s="81"/>
    </row>
    <row r="35" spans="1:5" x14ac:dyDescent="0.2">
      <c r="B35" s="81"/>
    </row>
    <row r="41" spans="1:5" x14ac:dyDescent="0.2">
      <c r="A41" s="8" t="s">
        <v>25</v>
      </c>
      <c r="B41" s="8" t="s">
        <v>36</v>
      </c>
      <c r="C41" s="8" t="s">
        <v>33</v>
      </c>
      <c r="D41" s="8" t="s">
        <v>34</v>
      </c>
      <c r="E41" s="8" t="s">
        <v>35</v>
      </c>
    </row>
    <row r="42" spans="1:5" ht="15" x14ac:dyDescent="0.25">
      <c r="A42" s="9">
        <v>1</v>
      </c>
      <c r="B42" s="5">
        <f>VLOOKUP(A42,Tasks!$G$31:$AE$35,COLUMN(Tasks!$AD$35) - COLUMN(Tasks!$G$31)+1,FALSE)</f>
        <v>0</v>
      </c>
      <c r="C42" s="5">
        <f>AVERAGE($B$42:$B$46)</f>
        <v>0</v>
      </c>
      <c r="D42" s="5">
        <f>MIN($B$42:$B$46)</f>
        <v>0</v>
      </c>
      <c r="E42" s="5">
        <f>MAX($B$42:$B$46)</f>
        <v>0</v>
      </c>
    </row>
    <row r="43" spans="1:5" ht="15" x14ac:dyDescent="0.25">
      <c r="A43" s="9">
        <v>2</v>
      </c>
      <c r="B43" s="5">
        <f>VLOOKUP(A43,Tasks!$G$31:$AE$35,COLUMN(Tasks!$AD$35) - COLUMN(Tasks!$G$31)+1,FALSE)</f>
        <v>0</v>
      </c>
      <c r="C43" s="5">
        <f>AVERAGE($B$42:$B$48)</f>
        <v>0</v>
      </c>
      <c r="D43" s="5">
        <f t="shared" ref="D43:D46" si="5">MIN($B$42:$B$46)</f>
        <v>0</v>
      </c>
      <c r="E43" s="5">
        <f t="shared" ref="E43:E46" si="6">MAX($B$42:$B$46)</f>
        <v>0</v>
      </c>
    </row>
    <row r="44" spans="1:5" ht="15" x14ac:dyDescent="0.25">
      <c r="A44" s="9">
        <v>3</v>
      </c>
      <c r="B44" s="5">
        <f>VLOOKUP(A44,Tasks!$G$31:$AE$35,COLUMN(Tasks!$AD$35) - COLUMN(Tasks!$G$31)+1,FALSE)</f>
        <v>0</v>
      </c>
      <c r="C44" s="5">
        <f>AVERAGE($B$42:$B$48)</f>
        <v>0</v>
      </c>
      <c r="D44" s="5">
        <f t="shared" si="5"/>
        <v>0</v>
      </c>
      <c r="E44" s="5">
        <f t="shared" si="6"/>
        <v>0</v>
      </c>
    </row>
    <row r="45" spans="1:5" ht="15" x14ac:dyDescent="0.25">
      <c r="A45" s="9">
        <v>4</v>
      </c>
      <c r="B45" s="5">
        <f>VLOOKUP(A45,Tasks!$G$31:$AE$35,COLUMN(Tasks!$AD$35) - COLUMN(Tasks!$G$31)+1,FALSE)</f>
        <v>0</v>
      </c>
      <c r="C45" s="5">
        <f>AVERAGE($B$42:$B$48)</f>
        <v>0</v>
      </c>
      <c r="D45" s="5">
        <f t="shared" si="5"/>
        <v>0</v>
      </c>
      <c r="E45" s="5">
        <f t="shared" si="6"/>
        <v>0</v>
      </c>
    </row>
    <row r="46" spans="1:5" ht="15" x14ac:dyDescent="0.25">
      <c r="A46" s="9">
        <v>5</v>
      </c>
      <c r="B46" s="5">
        <f>VLOOKUP(A46,Tasks!$G$31:$AE$35,COLUMN(Tasks!$AD$35) - COLUMN(Tasks!$G$31)+1,FALSE)</f>
        <v>0</v>
      </c>
      <c r="C46" s="5">
        <f>AVERAGE($B$42:$B$48)</f>
        <v>0</v>
      </c>
      <c r="D46" s="5">
        <f t="shared" si="5"/>
        <v>0</v>
      </c>
      <c r="E46" s="5">
        <f t="shared" si="6"/>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
  <sheetViews>
    <sheetView workbookViewId="0">
      <selection activeCell="C11" sqref="C11"/>
    </sheetView>
  </sheetViews>
  <sheetFormatPr defaultRowHeight="12.75" x14ac:dyDescent="0.2"/>
  <cols>
    <col min="1" max="1" width="6.42578125" bestFit="1" customWidth="1"/>
    <col min="2" max="2" width="8.28515625" bestFit="1" customWidth="1"/>
    <col min="3" max="3" width="16.28515625" bestFit="1" customWidth="1"/>
    <col min="4" max="4" width="4.28515625" bestFit="1" customWidth="1"/>
    <col min="5" max="5" width="4.85546875" bestFit="1" customWidth="1"/>
    <col min="15" max="15" width="5.85546875" bestFit="1" customWidth="1"/>
    <col min="16" max="16" width="7.7109375" bestFit="1" customWidth="1"/>
    <col min="17" max="17" width="14.85546875" bestFit="1" customWidth="1"/>
  </cols>
  <sheetData>
    <row r="1" spans="1:5" x14ac:dyDescent="0.2">
      <c r="A1" s="148" t="s">
        <v>79</v>
      </c>
      <c r="B1" s="148"/>
      <c r="C1" s="148"/>
      <c r="D1" s="148"/>
      <c r="E1" s="148"/>
    </row>
    <row r="2" spans="1:5" s="138" customFormat="1" x14ac:dyDescent="0.2">
      <c r="A2" s="137" t="str">
        <f>'Velocity Chart'!A20</f>
        <v>Sprint</v>
      </c>
      <c r="B2" s="137" t="str">
        <f>'Velocity Chart'!B20</f>
        <v>Velocity</v>
      </c>
      <c r="C2" s="137" t="str">
        <f>'Velocity Chart'!C20</f>
        <v>Average</v>
      </c>
      <c r="D2" s="137" t="str">
        <f>'Velocity Chart'!D20</f>
        <v>Min</v>
      </c>
      <c r="E2" s="137" t="str">
        <f>'Velocity Chart'!E20</f>
        <v>Max</v>
      </c>
    </row>
    <row r="3" spans="1:5" x14ac:dyDescent="0.2">
      <c r="A3" s="8">
        <f>'Velocity Chart'!A21</f>
        <v>1</v>
      </c>
      <c r="B3" s="139">
        <f>'Velocity Chart'!B21</f>
        <v>0</v>
      </c>
      <c r="C3" s="139">
        <f>'Velocity Chart'!C21</f>
        <v>0</v>
      </c>
      <c r="D3" s="139">
        <f>'Velocity Chart'!D21</f>
        <v>0</v>
      </c>
      <c r="E3" s="139">
        <f>'Velocity Chart'!E21</f>
        <v>0</v>
      </c>
    </row>
    <row r="4" spans="1:5" x14ac:dyDescent="0.2">
      <c r="A4" s="8">
        <f>'Velocity Chart'!A22</f>
        <v>2</v>
      </c>
      <c r="B4" s="139">
        <f>'Velocity Chart'!B22</f>
        <v>0</v>
      </c>
      <c r="C4" s="139">
        <f>'Velocity Chart'!C22</f>
        <v>0</v>
      </c>
      <c r="D4" s="139">
        <f>'Velocity Chart'!D22</f>
        <v>0</v>
      </c>
      <c r="E4" s="139">
        <f>'Velocity Chart'!E22</f>
        <v>0</v>
      </c>
    </row>
    <row r="5" spans="1:5" x14ac:dyDescent="0.2">
      <c r="A5" s="8">
        <f>'Velocity Chart'!A23</f>
        <v>3</v>
      </c>
      <c r="B5" s="139">
        <f>'Velocity Chart'!B23</f>
        <v>0</v>
      </c>
      <c r="C5" s="139">
        <f>'Velocity Chart'!C23</f>
        <v>0</v>
      </c>
      <c r="D5" s="139">
        <f>'Velocity Chart'!D23</f>
        <v>0</v>
      </c>
      <c r="E5" s="139">
        <f>'Velocity Chart'!E23</f>
        <v>0</v>
      </c>
    </row>
    <row r="6" spans="1:5" x14ac:dyDescent="0.2">
      <c r="A6" s="8">
        <f>'Velocity Chart'!A24</f>
        <v>4</v>
      </c>
      <c r="B6" s="139">
        <f>'Velocity Chart'!B24</f>
        <v>0</v>
      </c>
      <c r="C6" s="139">
        <f>'Velocity Chart'!C24</f>
        <v>0</v>
      </c>
      <c r="D6" s="139">
        <f>'Velocity Chart'!D24</f>
        <v>0</v>
      </c>
      <c r="E6" s="139">
        <f>'Velocity Chart'!E24</f>
        <v>0</v>
      </c>
    </row>
    <row r="7" spans="1:5" x14ac:dyDescent="0.2">
      <c r="A7" s="8">
        <f>'Velocity Chart'!A25</f>
        <v>5</v>
      </c>
      <c r="B7" s="139">
        <f>'Velocity Chart'!B25</f>
        <v>0</v>
      </c>
      <c r="C7" s="139">
        <f>'Velocity Chart'!C25</f>
        <v>0</v>
      </c>
      <c r="D7" s="139">
        <f>'Velocity Chart'!D25</f>
        <v>0</v>
      </c>
      <c r="E7" s="139">
        <f>'Velocity Chart'!E25</f>
        <v>0</v>
      </c>
    </row>
    <row r="10" spans="1:5" x14ac:dyDescent="0.2">
      <c r="A10" s="8" t="str">
        <f>A2</f>
        <v>Sprint</v>
      </c>
      <c r="B10" s="8" t="s">
        <v>36</v>
      </c>
      <c r="C10" s="8" t="s">
        <v>45</v>
      </c>
    </row>
    <row r="11" spans="1:5" x14ac:dyDescent="0.2">
      <c r="A11" s="8">
        <v>0</v>
      </c>
      <c r="B11" s="136">
        <v>0</v>
      </c>
      <c r="C11" s="136">
        <f>'Acceptance Tests'!U36</f>
        <v>0</v>
      </c>
    </row>
    <row r="12" spans="1:5" x14ac:dyDescent="0.2">
      <c r="A12" s="8">
        <f>A3</f>
        <v>1</v>
      </c>
      <c r="B12" s="136">
        <f>IF(B3&gt;0,B3,0)</f>
        <v>0</v>
      </c>
      <c r="C12" s="136">
        <f>C11-B12</f>
        <v>0</v>
      </c>
    </row>
    <row r="13" spans="1:5" x14ac:dyDescent="0.2">
      <c r="A13" s="8">
        <f>A4</f>
        <v>2</v>
      </c>
      <c r="B13" s="136">
        <f>IF(B4&gt;0,B4,B12)</f>
        <v>0</v>
      </c>
      <c r="C13" s="136">
        <f>C12-B13</f>
        <v>0</v>
      </c>
    </row>
    <row r="14" spans="1:5" x14ac:dyDescent="0.2">
      <c r="A14" s="8">
        <f>A5</f>
        <v>3</v>
      </c>
      <c r="B14" s="136">
        <f>IF(B5&gt;0,B5,(B12+B13)/2)</f>
        <v>0</v>
      </c>
      <c r="C14" s="136">
        <f>C13-B14</f>
        <v>0</v>
      </c>
    </row>
    <row r="15" spans="1:5" x14ac:dyDescent="0.2">
      <c r="A15" s="8">
        <f>A6</f>
        <v>4</v>
      </c>
      <c r="B15" s="136">
        <f>IF(B6&gt;0,B6,(B12+B13+B14)/3)</f>
        <v>0</v>
      </c>
      <c r="C15" s="136">
        <f>C14-B15</f>
        <v>0</v>
      </c>
    </row>
    <row r="16" spans="1:5" x14ac:dyDescent="0.2">
      <c r="A16" s="8">
        <f>A7</f>
        <v>5</v>
      </c>
      <c r="B16" s="136">
        <f>IF(B7&gt;0,B7,(B13+B14+B15)/3)</f>
        <v>0</v>
      </c>
      <c r="C16" s="136">
        <f>C15-B16</f>
        <v>0</v>
      </c>
    </row>
  </sheetData>
  <mergeCells count="1">
    <mergeCell ref="A1:E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H17"/>
  <sheetViews>
    <sheetView workbookViewId="0">
      <selection activeCell="C4" sqref="C4"/>
    </sheetView>
  </sheetViews>
  <sheetFormatPr defaultColWidth="8.5703125" defaultRowHeight="12.75" x14ac:dyDescent="0.2"/>
  <cols>
    <col min="2" max="2" width="22.42578125" customWidth="1"/>
    <col min="3" max="3" width="14.140625" bestFit="1" customWidth="1"/>
  </cols>
  <sheetData>
    <row r="3" spans="2:8" ht="19.5" x14ac:dyDescent="0.2">
      <c r="B3" s="7" t="s">
        <v>43</v>
      </c>
      <c r="C3" s="3">
        <v>1</v>
      </c>
    </row>
    <row r="4" spans="2:8" ht="19.5" x14ac:dyDescent="0.2">
      <c r="B4" s="7" t="s">
        <v>44</v>
      </c>
      <c r="C4" s="4">
        <f>VLOOKUP($C$3,Tasks!$G$31:$AE$35,COLUMN(Tasks!$AE$31)-COLUMN(Tasks!$G$31)+1,FALSE)</f>
        <v>5</v>
      </c>
    </row>
    <row r="5" spans="2:8" ht="19.5" x14ac:dyDescent="0.2">
      <c r="B5" s="7"/>
      <c r="H5" s="2"/>
    </row>
    <row r="6" spans="2:8" ht="19.5" x14ac:dyDescent="0.2">
      <c r="B6" s="7" t="s">
        <v>78</v>
      </c>
      <c r="C6" s="7">
        <v>0</v>
      </c>
      <c r="D6" s="7">
        <v>1</v>
      </c>
      <c r="E6" s="7">
        <v>2</v>
      </c>
      <c r="F6" s="7">
        <v>3</v>
      </c>
      <c r="G6" s="7">
        <v>4</v>
      </c>
      <c r="H6" s="7">
        <v>5</v>
      </c>
    </row>
    <row r="7" spans="2:8" ht="19.5" x14ac:dyDescent="0.2">
      <c r="B7" s="7" t="str">
        <f>CONCATENATE("Sprint ",C3)</f>
        <v>Sprint 1</v>
      </c>
      <c r="C7" s="80">
        <f>VLOOKUP($C$3,Tasks!$G$31:$AE$35,COLUMN(Tasks!$P$31)-COLUMN(Tasks!$G$31)+1+C6,FALSE)</f>
        <v>0</v>
      </c>
      <c r="D7" s="80">
        <f>VLOOKUP($C$3,Tasks!$G$31:$AE$35,COLUMN(Tasks!$P$31)-COLUMN(Tasks!$G$31)+1+D6,FALSE)</f>
        <v>0</v>
      </c>
      <c r="E7" s="80">
        <f>VLOOKUP($C$3,Tasks!$G$31:$AE$35,COLUMN(Tasks!$P$31)-COLUMN(Tasks!$G$31)+1+E6,FALSE)</f>
        <v>0</v>
      </c>
      <c r="F7" s="80">
        <f>VLOOKUP($C$3,Tasks!$G$31:$AE$35,COLUMN(Tasks!$P$31)-COLUMN(Tasks!$G$31)+1+F6,FALSE)</f>
        <v>0</v>
      </c>
      <c r="G7" s="80">
        <f>VLOOKUP($C$3,Tasks!$G$31:$AE$35,COLUMN(Tasks!$P$31)-COLUMN(Tasks!$G$31)+1+G6,FALSE)</f>
        <v>0</v>
      </c>
      <c r="H7" s="80">
        <f>VLOOKUP($C$3,Tasks!$G$31:$AE$35,COLUMN(Tasks!$P$31)-COLUMN(Tasks!$G$31)+1+H6,FALSE)</f>
        <v>0</v>
      </c>
    </row>
    <row r="8" spans="2:8" ht="19.5" x14ac:dyDescent="0.2">
      <c r="B8" s="7" t="s">
        <v>32</v>
      </c>
      <c r="C8" s="80">
        <f>C7</f>
        <v>0</v>
      </c>
      <c r="D8" s="80">
        <f>$C8-$C8*D$6/$C$4</f>
        <v>0</v>
      </c>
      <c r="E8" s="80">
        <f>$C8-$C8*E$6/$C$4</f>
        <v>0</v>
      </c>
      <c r="F8" s="80">
        <f>$C8-$C8*F$6/$C$4</f>
        <v>0</v>
      </c>
      <c r="G8" s="80">
        <f>$C8-$C8*G$6/$C$4</f>
        <v>0</v>
      </c>
      <c r="H8" s="80">
        <f>$C8-$C8*H$6/$C$4</f>
        <v>0</v>
      </c>
    </row>
    <row r="12" spans="2:8" x14ac:dyDescent="0.2">
      <c r="B12" s="2"/>
    </row>
    <row r="13" spans="2:8" x14ac:dyDescent="0.2">
      <c r="B13" s="2"/>
    </row>
    <row r="14" spans="2:8" x14ac:dyDescent="0.2">
      <c r="B14" s="2"/>
    </row>
    <row r="15" spans="2:8" x14ac:dyDescent="0.2">
      <c r="B15" s="2"/>
    </row>
    <row r="16" spans="2:8" x14ac:dyDescent="0.2">
      <c r="B16" s="2"/>
    </row>
    <row r="17" spans="2:2" x14ac:dyDescent="0.2">
      <c r="B17" s="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B23" sqref="B23"/>
    </sheetView>
  </sheetViews>
  <sheetFormatPr defaultRowHeight="12.75" x14ac:dyDescent="0.2"/>
  <cols>
    <col min="1" max="1" width="19" customWidth="1"/>
    <col min="2" max="3" width="22.85546875" bestFit="1" customWidth="1"/>
    <col min="4" max="4" width="11.7109375" customWidth="1"/>
    <col min="5" max="5" width="12" customWidth="1"/>
  </cols>
  <sheetData>
    <row r="1" spans="1:5" x14ac:dyDescent="0.2">
      <c r="A1" s="1" t="s">
        <v>5</v>
      </c>
      <c r="B1" s="1" t="s">
        <v>50</v>
      </c>
      <c r="C1" s="1" t="s">
        <v>86</v>
      </c>
      <c r="D1" s="1"/>
      <c r="E1" s="1"/>
    </row>
    <row r="2" spans="1:5" x14ac:dyDescent="0.2">
      <c r="A2" s="2" t="s">
        <v>39</v>
      </c>
      <c r="B2" s="2" t="s">
        <v>92</v>
      </c>
      <c r="C2" s="2" t="s">
        <v>87</v>
      </c>
      <c r="D2" s="1"/>
      <c r="E2" s="1"/>
    </row>
    <row r="3" spans="1:5" x14ac:dyDescent="0.2">
      <c r="A3" t="s">
        <v>6</v>
      </c>
      <c r="B3" s="2" t="s">
        <v>93</v>
      </c>
      <c r="C3" s="2" t="s">
        <v>88</v>
      </c>
    </row>
    <row r="4" spans="1:5" x14ac:dyDescent="0.2">
      <c r="A4" s="2" t="s">
        <v>41</v>
      </c>
      <c r="B4" s="2" t="s">
        <v>94</v>
      </c>
    </row>
    <row r="5" spans="1:5" x14ac:dyDescent="0.2">
      <c r="A5" s="2" t="s">
        <v>40</v>
      </c>
    </row>
  </sheetData>
  <phoneticPr fontId="0"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663"/>
  <sheetViews>
    <sheetView workbookViewId="0">
      <selection activeCell="A690" sqref="A690"/>
    </sheetView>
  </sheetViews>
  <sheetFormatPr defaultRowHeight="12.75" x14ac:dyDescent="0.2"/>
  <sheetData>
    <row r="1" spans="1:1" x14ac:dyDescent="0.2">
      <c r="A1" s="1"/>
    </row>
    <row r="30" spans="1:1" x14ac:dyDescent="0.2">
      <c r="A30" s="1"/>
    </row>
    <row r="92" spans="1:1" x14ac:dyDescent="0.2">
      <c r="A92" s="1"/>
    </row>
    <row r="120" spans="1:1" x14ac:dyDescent="0.2">
      <c r="A120" s="1"/>
    </row>
    <row r="139" spans="1:1" x14ac:dyDescent="0.2">
      <c r="A139" s="1"/>
    </row>
    <row r="164" spans="1:1" x14ac:dyDescent="0.2">
      <c r="A164" s="1"/>
    </row>
    <row r="251" spans="1:1" x14ac:dyDescent="0.2">
      <c r="A251">
        <v>21.2</v>
      </c>
    </row>
    <row r="334" spans="1:1" x14ac:dyDescent="0.2">
      <c r="A334">
        <v>48.1</v>
      </c>
    </row>
    <row r="340" spans="1:1" x14ac:dyDescent="0.2">
      <c r="A340" t="s">
        <v>9</v>
      </c>
    </row>
    <row r="393" spans="1:1" x14ac:dyDescent="0.2">
      <c r="A393" t="s">
        <v>10</v>
      </c>
    </row>
    <row r="491" spans="1:1" x14ac:dyDescent="0.2">
      <c r="A491" t="s">
        <v>11</v>
      </c>
    </row>
    <row r="602" spans="1:1" x14ac:dyDescent="0.2">
      <c r="A602" t="s">
        <v>12</v>
      </c>
    </row>
    <row r="632" spans="1:1" x14ac:dyDescent="0.2">
      <c r="A632" t="s">
        <v>13</v>
      </c>
    </row>
    <row r="663" spans="1:1" x14ac:dyDescent="0.2">
      <c r="A663" t="s">
        <v>14</v>
      </c>
    </row>
  </sheetData>
  <phoneticPr fontId="0" type="noConversion"/>
  <pageMargins left="0.75" right="0.75" top="1" bottom="1" header="0.5" footer="0.5"/>
  <pageSetup paperSize="9" orientation="portrait" horizontalDpi="4294967294"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DF xmlns="10826278-0047-4e73-b747-f5f8537a86b8">true</ADF>
    <Further_x0020_Grouping xmlns="10826278-0047-4e73-b747-f5f8537a86b8" xsi:nil="true"/>
    <Description0 xmlns="10826278-0047-4e73-b747-f5f8537a86b8" xsi:nil="true"/>
    <Status xmlns="10826278-0047-4e73-b747-f5f8537a86b8">Live</Status>
    <Document_x0020_type xmlns="10826278-0047-4e73-b747-f5f8537a86b8">Template (Blank)</Document_x0020_type>
    <Product_x0020_Area xmlns="10826278-0047-4e73-b747-f5f8537a86b8">13</Product_x0020_Area>
    <Products xmlns="10826278-0047-4e73-b747-f5f8537a86b8">79</Product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44601EDC0B44E4581F6E17D2AA21831" ma:contentTypeVersion="7" ma:contentTypeDescription="Create a new document." ma:contentTypeScope="" ma:versionID="6f2e232477efbd1ceab6eefdd7024465">
  <xsd:schema xmlns:xsd="http://www.w3.org/2001/XMLSchema" xmlns:xs="http://www.w3.org/2001/XMLSchema" xmlns:p="http://schemas.microsoft.com/office/2006/metadata/properties" xmlns:ns2="10826278-0047-4e73-b747-f5f8537a86b8" targetNamespace="http://schemas.microsoft.com/office/2006/metadata/properties" ma:root="true" ma:fieldsID="2b31cba124104da83e655a7cb68bd6e6" ns2:_="">
    <xsd:import namespace="10826278-0047-4e73-b747-f5f8537a86b8"/>
    <xsd:element name="properties">
      <xsd:complexType>
        <xsd:sequence>
          <xsd:element name="documentManagement">
            <xsd:complexType>
              <xsd:all>
                <xsd:element ref="ns2:Description0" minOccurs="0"/>
                <xsd:element ref="ns2:Document_x0020_type" minOccurs="0"/>
                <xsd:element ref="ns2:Product_x0020_Area"/>
                <xsd:element ref="ns2:Products" minOccurs="0"/>
                <xsd:element ref="ns2:Further_x0020_Grouping" minOccurs="0"/>
                <xsd:element ref="ns2:ADF" minOccurs="0"/>
                <xsd:element ref="ns2: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826278-0047-4e73-b747-f5f8537a86b8" elementFormDefault="qualified">
    <xsd:import namespace="http://schemas.microsoft.com/office/2006/documentManagement/types"/>
    <xsd:import namespace="http://schemas.microsoft.com/office/infopath/2007/PartnerControls"/>
    <xsd:element name="Description0" ma:index="2" nillable="true" ma:displayName="Description" ma:internalName="Description0">
      <xsd:simpleType>
        <xsd:restriction base="dms:Note">
          <xsd:maxLength value="255"/>
        </xsd:restriction>
      </xsd:simpleType>
    </xsd:element>
    <xsd:element name="Document_x0020_type" ma:index="3" nillable="true" ma:displayName="Document type" ma:format="Dropdown" ma:internalName="Document_x0020_type">
      <xsd:simpleType>
        <xsd:restriction base="dms:Choice">
          <xsd:enumeration value="N/A"/>
          <xsd:enumeration value="Checklist"/>
          <xsd:enumeration value="Information"/>
          <xsd:enumeration value="Method"/>
          <xsd:enumeration value="Presentation"/>
          <xsd:enumeration value="Procedure"/>
          <xsd:enumeration value="Process"/>
          <xsd:enumeration value="Guideline"/>
          <xsd:enumeration value="Template (Blank)"/>
          <xsd:enumeration value="Template (Example)"/>
          <xsd:enumeration value="Tool"/>
        </xsd:restriction>
      </xsd:simpleType>
    </xsd:element>
    <xsd:element name="Product_x0020_Area" ma:index="4" ma:displayName="Product Area" ma:list="{8d3d31f9-a3b6-4754-b93f-6c6f70bfaf8d}" ma:internalName="Product_x0020_Area" ma:showField="Product_x0020_Area">
      <xsd:simpleType>
        <xsd:restriction base="dms:Lookup"/>
      </xsd:simpleType>
    </xsd:element>
    <xsd:element name="Products" ma:index="5" nillable="true" ma:displayName="Products" ma:list="{e46ca23d-8cdf-4ec1-8abc-26051e3e4464}" ma:internalName="Products" ma:showField="Product">
      <xsd:simpleType>
        <xsd:restriction base="dms:Lookup"/>
      </xsd:simpleType>
    </xsd:element>
    <xsd:element name="Further_x0020_Grouping" ma:index="6" nillable="true" ma:displayName="Further Grouping" ma:internalName="Further_x0020_Grouping">
      <xsd:simpleType>
        <xsd:restriction base="dms:Text">
          <xsd:maxLength value="255"/>
        </xsd:restriction>
      </xsd:simpleType>
    </xsd:element>
    <xsd:element name="ADF" ma:index="7" nillable="true" ma:displayName="ADF" ma:default="0" ma:internalName="ADF">
      <xsd:simpleType>
        <xsd:restriction base="dms:Boolean"/>
      </xsd:simpleType>
    </xsd:element>
    <xsd:element name="Status" ma:index="8" nillable="true" ma:displayName="Status" ma:format="Dropdown" ma:internalName="Status">
      <xsd:simpleType>
        <xsd:restriction base="dms:Choice">
          <xsd:enumeration value="Archived"/>
          <xsd:enumeration value="Draft"/>
          <xsd:enumeration value="Live"/>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1" ma:displayName="Content Type"/>
        <xsd:element ref="dc:title" minOccurs="0" maxOccurs="1" ma:index="0"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A39F58-A1CE-42F9-9A4A-41CF67BB89BB}">
  <ds:schemaRefs>
    <ds:schemaRef ds:uri="http://purl.org/dc/elements/1.1/"/>
    <ds:schemaRef ds:uri="http://purl.org/dc/dcmitype/"/>
    <ds:schemaRef ds:uri="http://www.w3.org/XML/1998/namespace"/>
    <ds:schemaRef ds:uri="http://schemas.microsoft.com/office/2006/documentManagement/types"/>
    <ds:schemaRef ds:uri="http://purl.org/dc/terms/"/>
    <ds:schemaRef ds:uri="http://schemas.microsoft.com/office/2006/metadata/properties"/>
    <ds:schemaRef ds:uri="http://schemas.microsoft.com/office/infopath/2007/PartnerControls"/>
    <ds:schemaRef ds:uri="http://schemas.openxmlformats.org/package/2006/metadata/core-properties"/>
    <ds:schemaRef ds:uri="10826278-0047-4e73-b747-f5f8537a86b8"/>
  </ds:schemaRefs>
</ds:datastoreItem>
</file>

<file path=customXml/itemProps2.xml><?xml version="1.0" encoding="utf-8"?>
<ds:datastoreItem xmlns:ds="http://schemas.openxmlformats.org/officeDocument/2006/customXml" ds:itemID="{4B0D9967-2E5C-441A-A6BF-A33052F082F6}">
  <ds:schemaRefs>
    <ds:schemaRef ds:uri="http://schemas.microsoft.com/sharepoint/v3/contenttype/forms"/>
  </ds:schemaRefs>
</ds:datastoreItem>
</file>

<file path=customXml/itemProps3.xml><?xml version="1.0" encoding="utf-8"?>
<ds:datastoreItem xmlns:ds="http://schemas.openxmlformats.org/officeDocument/2006/customXml" ds:itemID="{B522EB55-DB42-4CD2-BE81-D4F07CB031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826278-0047-4e73-b747-f5f8537a86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Acceptance Tests</vt:lpstr>
      <vt:lpstr>Simple Read Only PBL</vt:lpstr>
      <vt:lpstr>Tasks</vt:lpstr>
      <vt:lpstr>Velocity Chart</vt:lpstr>
      <vt:lpstr>Backlog Burndown Chart</vt:lpstr>
      <vt:lpstr>Sprint Burndown Chart</vt:lpstr>
      <vt:lpstr>Parameters</vt:lpstr>
      <vt:lpstr>Error Images</vt:lpstr>
    </vt:vector>
  </TitlesOfParts>
  <Company>OMS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ATPBL Template</dc:title>
  <dc:creator>S29591</dc:creator>
  <cp:lastModifiedBy>Andersson Martin (9)</cp:lastModifiedBy>
  <cp:lastPrinted>2013-09-24T13:44:04Z</cp:lastPrinted>
  <dcterms:created xsi:type="dcterms:W3CDTF">2002-02-22T13:58:39Z</dcterms:created>
  <dcterms:modified xsi:type="dcterms:W3CDTF">2016-10-07T13:13:17Z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0x010100344601EDC0B44E4581F6E17D2AA21831</vt:lpwstr>
  </property>
  <property fmtid="{D5CDD505-2E9C-101B-9397-08002B2CF9AE}" pid="3" name="Order">
    <vt:r8>109100</vt:r8>
  </property>
</Properties>
</file>